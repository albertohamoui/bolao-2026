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lbertoHamoui\bolao-2026\"/>
    </mc:Choice>
  </mc:AlternateContent>
  <xr:revisionPtr revIDLastSave="0" documentId="11_AB188F5CD7EAD5516AEBADAF6CD09D9ECE411AE6" xr6:coauthVersionLast="47" xr6:coauthVersionMax="47" xr10:uidLastSave="{00000000-0000-0000-0000-000000000000}"/>
  <bookViews>
    <workbookView xWindow="-240" yWindow="-16320" windowWidth="29040" windowHeight="15720" tabRatio="500" xr2:uid="{00000000-000D-0000-FFFF-FFFF00000000}"/>
  </bookViews>
  <sheets>
    <sheet name="Fase de Grupos" sheetId="1" r:id="rId1"/>
    <sheet name="Totais" sheetId="2" r:id="rId2"/>
    <sheet name="Classificados" sheetId="3" r:id="rId3"/>
    <sheet name="Legenda"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7" i="1" l="1"/>
  <c r="N87" i="1"/>
  <c r="M87" i="1"/>
  <c r="O86" i="1"/>
  <c r="N86" i="1"/>
  <c r="M86" i="1"/>
  <c r="O85" i="1"/>
  <c r="N85" i="1"/>
  <c r="M85" i="1"/>
  <c r="O84" i="1"/>
  <c r="N84" i="1"/>
  <c r="M84" i="1"/>
  <c r="O83" i="1"/>
  <c r="N83" i="1"/>
  <c r="M83" i="1"/>
  <c r="O82" i="1"/>
  <c r="N82" i="1"/>
  <c r="M82" i="1"/>
  <c r="O80" i="1"/>
  <c r="N80" i="1"/>
  <c r="M80" i="1"/>
  <c r="O79" i="1"/>
  <c r="N79" i="1"/>
  <c r="M79" i="1"/>
  <c r="O78" i="1"/>
  <c r="N78" i="1"/>
  <c r="M78" i="1"/>
  <c r="O77" i="1"/>
  <c r="N77" i="1"/>
  <c r="M77" i="1"/>
  <c r="O76" i="1"/>
  <c r="N76" i="1"/>
  <c r="M76" i="1"/>
  <c r="O75" i="1"/>
  <c r="N75" i="1"/>
  <c r="M75" i="1"/>
  <c r="O73" i="1"/>
  <c r="N73" i="1"/>
  <c r="M73" i="1"/>
  <c r="O72" i="1"/>
  <c r="N72" i="1"/>
  <c r="M72" i="1"/>
  <c r="O71" i="1"/>
  <c r="N71" i="1"/>
  <c r="M71" i="1"/>
  <c r="O70" i="1"/>
  <c r="N70" i="1"/>
  <c r="M70" i="1"/>
  <c r="O69" i="1"/>
  <c r="N69" i="1"/>
  <c r="M69" i="1"/>
  <c r="O68" i="1"/>
  <c r="N68" i="1"/>
  <c r="M68" i="1"/>
  <c r="O66" i="1"/>
  <c r="N66" i="1"/>
  <c r="M66" i="1"/>
  <c r="O65" i="1"/>
  <c r="N65" i="1"/>
  <c r="M65" i="1"/>
  <c r="O64" i="1"/>
  <c r="N64" i="1"/>
  <c r="M64" i="1"/>
  <c r="O63" i="1"/>
  <c r="N63" i="1"/>
  <c r="M63" i="1"/>
  <c r="O62" i="1"/>
  <c r="N62" i="1"/>
  <c r="M62" i="1"/>
  <c r="O61" i="1"/>
  <c r="N61" i="1"/>
  <c r="M61" i="1"/>
  <c r="O59" i="1"/>
  <c r="N59" i="1"/>
  <c r="M59" i="1"/>
  <c r="O58" i="1"/>
  <c r="N58" i="1"/>
  <c r="M58" i="1"/>
  <c r="O57" i="1"/>
  <c r="N57" i="1"/>
  <c r="M57" i="1"/>
  <c r="O56" i="1"/>
  <c r="N56" i="1"/>
  <c r="M56" i="1"/>
  <c r="O55" i="1"/>
  <c r="N55" i="1"/>
  <c r="M55" i="1"/>
  <c r="O54" i="1"/>
  <c r="N54" i="1"/>
  <c r="M54" i="1"/>
  <c r="O52" i="1"/>
  <c r="N52" i="1"/>
  <c r="M52" i="1"/>
  <c r="O51" i="1"/>
  <c r="N51" i="1"/>
  <c r="M51" i="1"/>
  <c r="O50" i="1"/>
  <c r="N50" i="1"/>
  <c r="M50" i="1"/>
  <c r="O49" i="1"/>
  <c r="N49" i="1"/>
  <c r="M49" i="1"/>
  <c r="O48" i="1"/>
  <c r="N48" i="1"/>
  <c r="M48" i="1"/>
  <c r="O47" i="1"/>
  <c r="N47" i="1"/>
  <c r="M47" i="1"/>
  <c r="O45" i="1"/>
  <c r="N45" i="1"/>
  <c r="M45" i="1"/>
  <c r="O44" i="1"/>
  <c r="N44" i="1"/>
  <c r="M44" i="1"/>
  <c r="O43" i="1"/>
  <c r="N43" i="1"/>
  <c r="M43" i="1"/>
  <c r="O42" i="1"/>
  <c r="N42" i="1"/>
  <c r="M42" i="1"/>
  <c r="O41" i="1"/>
  <c r="N41" i="1"/>
  <c r="M41" i="1"/>
  <c r="O40" i="1"/>
  <c r="N40" i="1"/>
  <c r="M40" i="1"/>
  <c r="O38" i="1"/>
  <c r="N38" i="1"/>
  <c r="M38" i="1"/>
  <c r="O37" i="1"/>
  <c r="N37" i="1"/>
  <c r="M37" i="1"/>
  <c r="O36" i="1"/>
  <c r="N36" i="1"/>
  <c r="M36" i="1"/>
  <c r="O35" i="1"/>
  <c r="N35" i="1"/>
  <c r="M35" i="1"/>
  <c r="O34" i="1"/>
  <c r="N34" i="1"/>
  <c r="M34" i="1"/>
  <c r="O33" i="1"/>
  <c r="N33" i="1"/>
  <c r="M33" i="1"/>
  <c r="O31" i="1"/>
  <c r="N31" i="1"/>
  <c r="M31" i="1"/>
  <c r="O30" i="1"/>
  <c r="N30" i="1"/>
  <c r="M30" i="1"/>
  <c r="O29" i="1"/>
  <c r="N29" i="1"/>
  <c r="M29" i="1"/>
  <c r="O28" i="1"/>
  <c r="N28" i="1"/>
  <c r="M28" i="1"/>
  <c r="O27" i="1"/>
  <c r="N27" i="1"/>
  <c r="M27" i="1"/>
  <c r="O26" i="1"/>
  <c r="N26" i="1"/>
  <c r="M26" i="1"/>
  <c r="O24" i="1"/>
  <c r="N24" i="1"/>
  <c r="M24" i="1"/>
  <c r="O23" i="1"/>
  <c r="N23" i="1"/>
  <c r="M23" i="1"/>
  <c r="O22" i="1"/>
  <c r="N22" i="1"/>
  <c r="M22" i="1"/>
  <c r="O21" i="1"/>
  <c r="N21" i="1"/>
  <c r="M21" i="1"/>
  <c r="O20" i="1"/>
  <c r="N20" i="1"/>
  <c r="M20" i="1"/>
  <c r="O19" i="1"/>
  <c r="N19" i="1"/>
  <c r="M19" i="1"/>
  <c r="O17" i="1"/>
  <c r="N17" i="1"/>
  <c r="M17" i="1"/>
  <c r="O16" i="1"/>
  <c r="N16" i="1"/>
  <c r="M16" i="1"/>
  <c r="O15" i="1"/>
  <c r="C5" i="2" s="1"/>
  <c r="N15" i="1"/>
  <c r="M15" i="1"/>
  <c r="O14" i="1"/>
  <c r="N14" i="1"/>
  <c r="M14" i="1"/>
  <c r="O13" i="1"/>
  <c r="N13" i="1"/>
  <c r="M13" i="1"/>
  <c r="O12" i="1"/>
  <c r="N12" i="1"/>
  <c r="M12" i="1"/>
  <c r="O10" i="1"/>
  <c r="N10" i="1"/>
  <c r="M10" i="1"/>
  <c r="O9" i="1"/>
  <c r="N9" i="1"/>
  <c r="M9" i="1"/>
  <c r="O8" i="1"/>
  <c r="N8" i="1"/>
  <c r="M8" i="1"/>
  <c r="O7" i="1"/>
  <c r="N7" i="1"/>
  <c r="M7" i="1"/>
  <c r="O6" i="1"/>
  <c r="N6" i="1"/>
  <c r="M6" i="1"/>
  <c r="O5" i="1"/>
  <c r="B5" i="2" s="1"/>
  <c r="N5" i="1"/>
  <c r="C4" i="2" s="1"/>
  <c r="M5" i="1"/>
  <c r="C3" i="2" s="1"/>
  <c r="B3" i="2" l="1"/>
  <c r="B4" i="2"/>
</calcChain>
</file>

<file path=xl/sharedStrings.xml><?xml version="1.0" encoding="utf-8"?>
<sst xmlns="http://schemas.openxmlformats.org/spreadsheetml/2006/main" count="330" uniqueCount="122">
  <si>
    <t>Copa do Mundo 2026 - Controle de Boloes - Fase de Grupos</t>
  </si>
  <si>
    <t>Grupo</t>
  </si>
  <si>
    <t>Jogo</t>
  </si>
  <si>
    <t>Mandante</t>
  </si>
  <si>
    <t>Visitante</t>
  </si>
  <si>
    <t>Zap</t>
  </si>
  <si>
    <t>Cli</t>
  </si>
  <si>
    <t>Polla</t>
  </si>
  <si>
    <t>Real</t>
  </si>
  <si>
    <t>Pts Zap</t>
  </si>
  <si>
    <t>Pts Cli</t>
  </si>
  <si>
    <t>Pts Polla</t>
  </si>
  <si>
    <t>Obs</t>
  </si>
  <si>
    <t>M</t>
  </si>
  <si>
    <t>V</t>
  </si>
  <si>
    <t>Grupo A</t>
  </si>
  <si>
    <t>A</t>
  </si>
  <si>
    <t>MEX</t>
  </si>
  <si>
    <t>AFS</t>
  </si>
  <si>
    <t>COR</t>
  </si>
  <si>
    <t>CZE</t>
  </si>
  <si>
    <t>Grupo B</t>
  </si>
  <si>
    <t>B</t>
  </si>
  <si>
    <t>CAN</t>
  </si>
  <si>
    <t>BOS</t>
  </si>
  <si>
    <t>CAT</t>
  </si>
  <si>
    <t>SUI</t>
  </si>
  <si>
    <t>Grupo C</t>
  </si>
  <si>
    <t>C</t>
  </si>
  <si>
    <t>HAI</t>
  </si>
  <si>
    <t>ESC</t>
  </si>
  <si>
    <t>BRA</t>
  </si>
  <si>
    <t>MAR</t>
  </si>
  <si>
    <t>Grupo D</t>
  </si>
  <si>
    <t>D</t>
  </si>
  <si>
    <t>EUA</t>
  </si>
  <si>
    <t>PAR</t>
  </si>
  <si>
    <t>AUS</t>
  </si>
  <si>
    <t>TUR</t>
  </si>
  <si>
    <t>Grupo E</t>
  </si>
  <si>
    <t>E</t>
  </si>
  <si>
    <t>CDM</t>
  </si>
  <si>
    <t>EQU</t>
  </si>
  <si>
    <t>ALE</t>
  </si>
  <si>
    <t>CUR</t>
  </si>
  <si>
    <t>Grupo F</t>
  </si>
  <si>
    <t>F</t>
  </si>
  <si>
    <t>HOL</t>
  </si>
  <si>
    <t>JAP</t>
  </si>
  <si>
    <t>SUE</t>
  </si>
  <si>
    <t>TUN</t>
  </si>
  <si>
    <t>Grupo G</t>
  </si>
  <si>
    <t>G</t>
  </si>
  <si>
    <t>IRA</t>
  </si>
  <si>
    <t>NZL</t>
  </si>
  <si>
    <t>BEL</t>
  </si>
  <si>
    <t>EGT</t>
  </si>
  <si>
    <t>Grupo H</t>
  </si>
  <si>
    <t>H</t>
  </si>
  <si>
    <t>SAU</t>
  </si>
  <si>
    <t>URU</t>
  </si>
  <si>
    <t>ESP</t>
  </si>
  <si>
    <t>CPV</t>
  </si>
  <si>
    <t>Grupo I</t>
  </si>
  <si>
    <t>I</t>
  </si>
  <si>
    <t>FRA</t>
  </si>
  <si>
    <t>SEN</t>
  </si>
  <si>
    <t>IRQ</t>
  </si>
  <si>
    <t>NOR</t>
  </si>
  <si>
    <t>Grupo J</t>
  </si>
  <si>
    <t>J</t>
  </si>
  <si>
    <t>ARG</t>
  </si>
  <si>
    <t>AGL</t>
  </si>
  <si>
    <t>AUT</t>
  </si>
  <si>
    <t>JRD</t>
  </si>
  <si>
    <t>Grupo K</t>
  </si>
  <si>
    <t>K</t>
  </si>
  <si>
    <t>POR</t>
  </si>
  <si>
    <t>RDC</t>
  </si>
  <si>
    <t>UZB</t>
  </si>
  <si>
    <t>COL</t>
  </si>
  <si>
    <t>Grupo L</t>
  </si>
  <si>
    <t>L</t>
  </si>
  <si>
    <t>ING</t>
  </si>
  <si>
    <t>CRO</t>
  </si>
  <si>
    <t>GAN</t>
  </si>
  <si>
    <t>PAN</t>
  </si>
  <si>
    <t>Placar de Pontos — Copa 2026</t>
  </si>
  <si>
    <t>Bolão</t>
  </si>
  <si>
    <t>Fase de Grupos</t>
  </si>
  <si>
    <t>Jogos pontuados</t>
  </si>
  <si>
    <t>Bolão do Zap</t>
  </si>
  <si>
    <t>Bolão do Cli</t>
  </si>
  <si>
    <t>Polla 26</t>
  </si>
  <si>
    <t>Classificados para a 2a Fase - por Bolao</t>
  </si>
  <si>
    <t>Bolao do Zap</t>
  </si>
  <si>
    <t>Bolao do Cli</t>
  </si>
  <si>
    <t>1o</t>
  </si>
  <si>
    <t>2o</t>
  </si>
  <si>
    <t>Legenda e Notas</t>
  </si>
  <si>
    <t>Estrutura</t>
  </si>
  <si>
    <t>72 jogos. Colunas M/V = gols do mandante e do visitante no palpite de cada bolao.</t>
  </si>
  <si>
    <t>Palpites ja preenchidos a partir dos prints (12.06.2026).</t>
  </si>
  <si>
    <t>Bolao do Zap / Polla 26</t>
  </si>
  <si>
    <t>Colunas em branco, a preencher.</t>
  </si>
  <si>
    <t>Resultado Real</t>
  </si>
  <si>
    <t>Preencher conforme os jogos acontecem.</t>
  </si>
  <si>
    <t>Pts Zap / Cli / Polla</t>
  </si>
  <si>
    <t>Reservado para pontuacao por jogo conforme a regra de cada bolao.</t>
  </si>
  <si>
    <t>Classificados</t>
  </si>
  <si>
    <t>1o e 2o de cada grupo por bolao. Cli ja preenchido.</t>
  </si>
  <si>
    <t>Siglas</t>
  </si>
  <si>
    <t>AFS Africa do Sul, COR Coreia do Sul, CAT Catar, BOS Bosnia, CDM Costa do Marfim, EQU Equador, CUR Curacao, EGT Egito, CPV Cabo Verde, IRQ Iraque, AGL Argelia, JRD Jordania, RDC Rep. Dem. do Congo, UZB Uzbequistao, GAN Gana, PAN Panama.</t>
  </si>
  <si>
    <t>Pontuacao automatica</t>
  </si>
  <si>
    <t>Colunas M/N/O calculam sozinhas quando voce preenche Real (K/L).</t>
  </si>
  <si>
    <t>Bolao do Zap (grupos)</t>
  </si>
  <si>
    <t>Exato 10 | dif de gols 6 | gols do vencedor 5 | gols do perdedor 4 | so vencedor 3 | empate exato 10 | empate placar errado 6 | resto 0.</t>
  </si>
  <si>
    <t>Bolao do Cli (grupos)</t>
  </si>
  <si>
    <t>Exato 5 (+1 se 5 gols no total, +2 se 6+ gols) | empate certo placar errado 3 | vitoria certa placar errado 2 | resto 0.</t>
  </si>
  <si>
    <t>Placar exato 3 | so o vencedor/empate certo 1 | resto 0.</t>
  </si>
  <si>
    <t>Mata-mata</t>
  </si>
  <si>
    <t>Ainda nao consolidado. Zap dobra a tabela (exato 15, dif 9, gols venc 8, gols perd 6, so venc 5). Cli e Polla mantem os mesmos valores dos grupos.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</si>
</sst>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charset val="1"/>
    </font>
    <font>
      <sz val="10"/>
      <name val="Arial"/>
      <family val="2"/>
    </font>
    <font>
      <b/>
      <sz val="14"/>
      <color rgb="FFEDEDED"/>
      <name val="Arial"/>
      <family val="2"/>
    </font>
    <font>
      <b/>
      <sz val="10"/>
      <color rgb="FFEDEDED"/>
      <name val="Arial"/>
      <family val="2"/>
    </font>
    <font>
      <b/>
      <sz val="9"/>
      <color rgb="FFEDEDED"/>
      <name val="Arial"/>
      <family val="2"/>
    </font>
    <font>
      <sz val="10"/>
      <name val="Arial"/>
      <family val="2"/>
    </font>
    <font>
      <b/>
      <sz val="10"/>
      <name val="Arial"/>
      <family val="2"/>
    </font>
    <font>
      <b/>
      <sz val="13"/>
      <color rgb="FFEDEDED"/>
      <name val="Arial"/>
      <family val="2"/>
    </font>
    <font>
      <b/>
      <sz val="10"/>
      <color rgb="FF1D213D"/>
      <name val="Arial"/>
      <family val="2"/>
    </font>
    <font>
      <b/>
      <sz val="12"/>
      <color rgb="FFFFFFFF"/>
      <name val="Calibri"/>
      <family val="2"/>
    </font>
    <font>
      <b/>
      <sz val="11"/>
      <name val="Calibri"/>
      <family val="2"/>
    </font>
    <font>
      <sz val="11"/>
      <name val="Calibri"/>
      <family val="2"/>
    </font>
  </fonts>
  <fills count="9">
    <fill>
      <patternFill patternType="none"/>
    </fill>
    <fill>
      <patternFill patternType="gray125"/>
    </fill>
    <fill>
      <patternFill patternType="solid">
        <fgColor rgb="FF1D213D"/>
        <bgColor rgb="FF2A2F52"/>
      </patternFill>
    </fill>
    <fill>
      <patternFill patternType="solid">
        <fgColor rgb="FFAF6C4A"/>
        <bgColor rgb="FF838489"/>
      </patternFill>
    </fill>
    <fill>
      <patternFill patternType="solid">
        <fgColor rgb="FF838489"/>
        <bgColor rgb="FF969696"/>
      </patternFill>
    </fill>
    <fill>
      <patternFill patternType="solid">
        <fgColor rgb="FF2A2F52"/>
        <bgColor rgb="FF1D213D"/>
      </patternFill>
    </fill>
    <fill>
      <patternFill patternType="solid">
        <fgColor rgb="FFF2F2F2"/>
        <bgColor rgb="FFEDEDED"/>
      </patternFill>
    </fill>
    <fill>
      <patternFill patternType="solid">
        <fgColor rgb="FF1F4E78"/>
      </patternFill>
    </fill>
    <fill>
      <patternFill patternType="solid">
        <fgColor rgb="FFBDD7EE"/>
      </patternFill>
    </fill>
  </fills>
  <borders count="7">
    <border>
      <left/>
      <right/>
      <top/>
      <bottom/>
      <diagonal/>
    </border>
    <border>
      <left style="thin">
        <color rgb="FFC9C9C9"/>
      </left>
      <right style="thin">
        <color rgb="FFC9C9C9"/>
      </right>
      <top style="thin">
        <color rgb="FFC9C9C9"/>
      </top>
      <bottom/>
      <diagonal/>
    </border>
    <border>
      <left style="thin">
        <color rgb="FFC9C9C9"/>
      </left>
      <right style="thin">
        <color rgb="FFC9C9C9"/>
      </right>
      <top style="thin">
        <color rgb="FFC9C9C9"/>
      </top>
      <bottom style="thin">
        <color rgb="FFC9C9C9"/>
      </bottom>
      <diagonal/>
    </border>
    <border>
      <left/>
      <right style="thin">
        <color rgb="FFC9C9C9"/>
      </right>
      <top style="thin">
        <color rgb="FFC9C9C9"/>
      </top>
      <bottom style="thin">
        <color rgb="FFC9C9C9"/>
      </bottom>
      <diagonal/>
    </border>
    <border>
      <left style="thin">
        <color rgb="FFC9C9C9"/>
      </left>
      <right style="medium">
        <color indexed="64"/>
      </right>
      <top style="thin">
        <color rgb="FFC9C9C9"/>
      </top>
      <bottom style="thin">
        <color rgb="FFC9C9C9"/>
      </bottom>
      <diagonal/>
    </border>
    <border>
      <left style="thin">
        <color rgb="FFC9C9C9"/>
      </left>
      <right style="thin">
        <color rgb="FFC9C9C9"/>
      </right>
      <top/>
      <bottom/>
      <diagonal/>
    </border>
    <border>
      <left style="thin">
        <color rgb="FFC9C9C9"/>
      </left>
      <right style="thin">
        <color rgb="FFC9C9C9"/>
      </right>
      <top/>
      <bottom style="thin">
        <color rgb="FFC9C9C9"/>
      </bottom>
      <diagonal/>
    </border>
  </borders>
  <cellStyleXfs count="1">
    <xf numFmtId="0" fontId="0" fillId="0" borderId="0"/>
  </cellStyleXfs>
  <cellXfs count="43">
    <xf numFmtId="0" fontId="0" fillId="0" borderId="0" xfId="0"/>
    <xf numFmtId="0" fontId="4" fillId="2" borderId="2" xfId="0" applyFont="1" applyFill="1" applyBorder="1" applyAlignment="1">
      <alignment horizontal="center" vertical="center"/>
    </xf>
    <xf numFmtId="0" fontId="5" fillId="0" borderId="2" xfId="0" applyFont="1" applyBorder="1" applyAlignment="1">
      <alignment horizontal="center" vertical="center"/>
    </xf>
    <xf numFmtId="0" fontId="6" fillId="0" borderId="2" xfId="0" applyFont="1" applyBorder="1" applyAlignment="1">
      <alignment horizontal="center" vertical="center"/>
    </xf>
    <xf numFmtId="0" fontId="5" fillId="0" borderId="2" xfId="0" applyFont="1" applyBorder="1" applyAlignment="1">
      <alignment horizontal="left" vertical="center"/>
    </xf>
    <xf numFmtId="0" fontId="5" fillId="6" borderId="2" xfId="0" applyFont="1" applyFill="1" applyBorder="1" applyAlignment="1">
      <alignment horizontal="center" vertical="center"/>
    </xf>
    <xf numFmtId="0" fontId="6" fillId="6" borderId="2" xfId="0" applyFont="1" applyFill="1" applyBorder="1" applyAlignment="1">
      <alignment horizontal="center" vertical="center"/>
    </xf>
    <xf numFmtId="0" fontId="5" fillId="6" borderId="2" xfId="0" applyFont="1" applyFill="1" applyBorder="1" applyAlignment="1">
      <alignment horizontal="left" vertical="center"/>
    </xf>
    <xf numFmtId="0" fontId="8" fillId="0" borderId="0" xfId="0" applyFont="1"/>
    <xf numFmtId="0" fontId="5" fillId="0" borderId="0" xfId="0" applyFont="1" applyAlignment="1">
      <alignment vertical="top" wrapText="1"/>
    </xf>
    <xf numFmtId="0" fontId="5" fillId="0" borderId="3" xfId="0" applyFont="1" applyBorder="1" applyAlignment="1">
      <alignment horizontal="center" vertical="center"/>
    </xf>
    <xf numFmtId="0" fontId="5" fillId="6" borderId="3" xfId="0" applyFont="1" applyFill="1" applyBorder="1" applyAlignment="1">
      <alignment horizontal="center" vertical="center"/>
    </xf>
    <xf numFmtId="0" fontId="5" fillId="6" borderId="4" xfId="0" applyFont="1" applyFill="1" applyBorder="1" applyAlignment="1">
      <alignment horizontal="center" vertical="center"/>
    </xf>
    <xf numFmtId="0" fontId="5" fillId="0" borderId="4" xfId="0" applyFont="1" applyBorder="1" applyAlignment="1">
      <alignment horizontal="center" vertical="center"/>
    </xf>
    <xf numFmtId="0" fontId="6" fillId="0" borderId="4" xfId="0" applyFont="1" applyBorder="1" applyAlignment="1">
      <alignment horizontal="center" vertical="center"/>
    </xf>
    <xf numFmtId="0" fontId="6" fillId="6" borderId="4" xfId="0" applyFont="1" applyFill="1" applyBorder="1" applyAlignment="1">
      <alignment horizontal="center" vertical="center"/>
    </xf>
    <xf numFmtId="0" fontId="6" fillId="0" borderId="3" xfId="0" applyFont="1" applyBorder="1" applyAlignment="1">
      <alignment horizontal="center" vertical="center"/>
    </xf>
    <xf numFmtId="0" fontId="6" fillId="6" borderId="3" xfId="0" applyFont="1" applyFill="1" applyBorder="1" applyAlignment="1">
      <alignment horizontal="center" vertical="center"/>
    </xf>
    <xf numFmtId="0" fontId="1" fillId="0" borderId="2" xfId="0" applyFont="1" applyBorder="1" applyAlignment="1">
      <alignment horizontal="center" vertical="center"/>
    </xf>
    <xf numFmtId="0" fontId="1" fillId="6" borderId="2" xfId="0" applyFont="1" applyFill="1" applyBorder="1" applyAlignment="1">
      <alignment horizontal="center" vertical="center"/>
    </xf>
    <xf numFmtId="0" fontId="1" fillId="0" borderId="4" xfId="0" applyFont="1" applyBorder="1" applyAlignment="1">
      <alignment horizontal="center" vertical="center"/>
    </xf>
    <xf numFmtId="0" fontId="1" fillId="6" borderId="4" xfId="0" applyFont="1" applyFill="1" applyBorder="1" applyAlignment="1">
      <alignment horizontal="center" vertical="center"/>
    </xf>
    <xf numFmtId="0" fontId="5" fillId="0" borderId="3" xfId="0" applyFont="1" applyBorder="1" applyAlignment="1">
      <alignment horizontal="center"/>
    </xf>
    <xf numFmtId="0" fontId="5" fillId="0" borderId="2" xfId="0" applyFont="1" applyBorder="1" applyAlignment="1">
      <alignment horizontal="center"/>
    </xf>
    <xf numFmtId="0" fontId="5" fillId="6" borderId="3" xfId="0" applyFont="1" applyFill="1" applyBorder="1" applyAlignment="1">
      <alignment horizontal="center"/>
    </xf>
    <xf numFmtId="0" fontId="5" fillId="6" borderId="2" xfId="0" applyFont="1" applyFill="1" applyBorder="1" applyAlignment="1">
      <alignment horizontal="center"/>
    </xf>
    <xf numFmtId="0" fontId="10" fillId="8" borderId="0" xfId="0" applyFont="1" applyFill="1" applyAlignment="1">
      <alignment horizontal="center"/>
    </xf>
    <xf numFmtId="0" fontId="10" fillId="0" borderId="0" xfId="0" applyFont="1"/>
    <xf numFmtId="0" fontId="0" fillId="0" borderId="0" xfId="0" applyAlignment="1">
      <alignment horizontal="center"/>
    </xf>
    <xf numFmtId="0" fontId="11" fillId="0" borderId="0" xfId="0" applyFont="1"/>
    <xf numFmtId="0" fontId="3" fillId="5" borderId="0" xfId="0" applyFont="1" applyFill="1" applyAlignment="1">
      <alignment horizontal="left" vertical="center"/>
    </xf>
    <xf numFmtId="0" fontId="0" fillId="0" borderId="0" xfId="0"/>
    <xf numFmtId="0" fontId="3" fillId="3" borderId="2" xfId="0" applyFont="1" applyFill="1" applyBorder="1" applyAlignment="1">
      <alignment horizontal="center" vertical="center"/>
    </xf>
    <xf numFmtId="0" fontId="0" fillId="0" borderId="3" xfId="0" applyBorder="1"/>
    <xf numFmtId="0" fontId="3" fillId="2" borderId="1" xfId="0" applyFont="1" applyFill="1" applyBorder="1" applyAlignment="1">
      <alignment horizontal="center" vertical="center"/>
    </xf>
    <xf numFmtId="0" fontId="0" fillId="0" borderId="5" xfId="0" applyBorder="1"/>
    <xf numFmtId="0" fontId="4" fillId="2" borderId="2" xfId="0" applyFont="1" applyFill="1" applyBorder="1" applyAlignment="1">
      <alignment horizontal="center" vertical="center"/>
    </xf>
    <xf numFmtId="0" fontId="0" fillId="0" borderId="6" xfId="0" applyBorder="1"/>
    <xf numFmtId="0" fontId="2" fillId="2" borderId="0" xfId="0" applyFont="1" applyFill="1" applyAlignment="1">
      <alignment horizontal="center" vertical="center"/>
    </xf>
    <xf numFmtId="0" fontId="3" fillId="4" borderId="2" xfId="0" applyFont="1" applyFill="1" applyBorder="1" applyAlignment="1">
      <alignment horizontal="center" vertical="center"/>
    </xf>
    <xf numFmtId="0" fontId="9" fillId="7" borderId="0" xfId="0" applyFont="1" applyFill="1" applyAlignment="1">
      <alignment horizontal="center"/>
    </xf>
    <xf numFmtId="0" fontId="3" fillId="2" borderId="2" xfId="0" applyFont="1" applyFill="1" applyBorder="1" applyAlignment="1">
      <alignment horizontal="center" vertical="center"/>
    </xf>
    <xf numFmtId="0" fontId="7" fillId="2" borderId="0" xfId="0" applyFont="1" applyFill="1" applyAlignment="1">
      <alignment horizontal="left" vertical="center"/>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AF6C4A"/>
      <rgbColor rgb="FF800080"/>
      <rgbColor rgb="FF008080"/>
      <rgbColor rgb="FFC9C9C9"/>
      <rgbColor rgb="FF838489"/>
      <rgbColor rgb="FF9999FF"/>
      <rgbColor rgb="FF993366"/>
      <rgbColor rgb="FFEDEDE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D213D"/>
      <rgbColor rgb="FF339966"/>
      <rgbColor rgb="FF003300"/>
      <rgbColor rgb="FF333300"/>
      <rgbColor rgb="FF993300"/>
      <rgbColor rgb="FF993366"/>
      <rgbColor rgb="FF333399"/>
      <rgbColor rgb="FF2A2F5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87"/>
  <sheetViews>
    <sheetView showGridLines="0" tabSelected="1" zoomScaleNormal="100" workbookViewId="0">
      <pane ySplit="3" topLeftCell="A4" activePane="bottomLeft" state="frozen"/>
      <selection pane="bottomLeft" activeCell="M7" sqref="M7"/>
    </sheetView>
  </sheetViews>
  <sheetFormatPr defaultColWidth="8.7109375" defaultRowHeight="15" x14ac:dyDescent="0.25"/>
  <cols>
    <col min="1" max="1" width="7" customWidth="1"/>
    <col min="2" max="2" width="6" customWidth="1"/>
    <col min="3" max="4" width="11" customWidth="1"/>
    <col min="5" max="12" width="5" customWidth="1"/>
    <col min="13" max="14" width="8" customWidth="1"/>
    <col min="15" max="15" width="9" customWidth="1"/>
    <col min="16" max="16" width="22" customWidth="1"/>
  </cols>
  <sheetData>
    <row r="1" spans="1:16" ht="27.75" customHeight="1" x14ac:dyDescent="0.25">
      <c r="A1" s="38" t="s">
        <v>0</v>
      </c>
      <c r="B1" s="31"/>
      <c r="C1" s="31"/>
      <c r="D1" s="31"/>
      <c r="E1" s="31"/>
      <c r="F1" s="31"/>
      <c r="G1" s="31"/>
      <c r="H1" s="31"/>
      <c r="I1" s="31"/>
      <c r="J1" s="31"/>
      <c r="K1" s="31"/>
      <c r="L1" s="31"/>
      <c r="M1" s="31"/>
      <c r="N1" s="31"/>
      <c r="O1" s="31"/>
      <c r="P1" s="31"/>
    </row>
    <row r="2" spans="1:16" x14ac:dyDescent="0.25">
      <c r="A2" s="34" t="s">
        <v>1</v>
      </c>
      <c r="B2" s="34" t="s">
        <v>2</v>
      </c>
      <c r="C2" s="34" t="s">
        <v>3</v>
      </c>
      <c r="D2" s="34" t="s">
        <v>4</v>
      </c>
      <c r="E2" s="32" t="s">
        <v>5</v>
      </c>
      <c r="F2" s="33"/>
      <c r="G2" s="32" t="s">
        <v>6</v>
      </c>
      <c r="H2" s="33"/>
      <c r="I2" s="32" t="s">
        <v>7</v>
      </c>
      <c r="J2" s="33"/>
      <c r="K2" s="39" t="s">
        <v>8</v>
      </c>
      <c r="L2" s="33"/>
      <c r="M2" s="36" t="s">
        <v>9</v>
      </c>
      <c r="N2" s="36" t="s">
        <v>10</v>
      </c>
      <c r="O2" s="36" t="s">
        <v>11</v>
      </c>
      <c r="P2" s="36" t="s">
        <v>12</v>
      </c>
    </row>
    <row r="3" spans="1:16" x14ac:dyDescent="0.25">
      <c r="A3" s="35"/>
      <c r="B3" s="35"/>
      <c r="C3" s="35"/>
      <c r="D3" s="35"/>
      <c r="E3" s="1" t="s">
        <v>13</v>
      </c>
      <c r="F3" s="1" t="s">
        <v>14</v>
      </c>
      <c r="G3" s="1" t="s">
        <v>13</v>
      </c>
      <c r="H3" s="1" t="s">
        <v>14</v>
      </c>
      <c r="I3" s="1" t="s">
        <v>13</v>
      </c>
      <c r="J3" s="1" t="s">
        <v>14</v>
      </c>
      <c r="K3" s="1" t="s">
        <v>13</v>
      </c>
      <c r="L3" s="1" t="s">
        <v>14</v>
      </c>
      <c r="M3" s="37"/>
      <c r="N3" s="37"/>
      <c r="O3" s="37"/>
      <c r="P3" s="37"/>
    </row>
    <row r="4" spans="1:16" ht="18" customHeight="1" x14ac:dyDescent="0.25">
      <c r="A4" s="30" t="s">
        <v>15</v>
      </c>
      <c r="B4" s="31"/>
      <c r="C4" s="31"/>
      <c r="D4" s="31"/>
      <c r="E4" s="31"/>
      <c r="F4" s="31"/>
      <c r="G4" s="31"/>
      <c r="H4" s="31"/>
      <c r="I4" s="31"/>
      <c r="J4" s="31"/>
      <c r="K4" s="31"/>
      <c r="L4" s="31"/>
      <c r="M4" s="31"/>
      <c r="N4" s="31"/>
      <c r="O4" s="31"/>
      <c r="P4" s="31"/>
    </row>
    <row r="5" spans="1:16" x14ac:dyDescent="0.25">
      <c r="A5" s="2" t="s">
        <v>16</v>
      </c>
      <c r="B5" s="2">
        <v>1</v>
      </c>
      <c r="C5" s="3" t="s">
        <v>17</v>
      </c>
      <c r="D5" s="14" t="s">
        <v>18</v>
      </c>
      <c r="E5" s="10">
        <v>2</v>
      </c>
      <c r="F5" s="13">
        <v>0</v>
      </c>
      <c r="G5" s="10">
        <v>2</v>
      </c>
      <c r="H5" s="13">
        <v>1</v>
      </c>
      <c r="I5" s="18">
        <v>1</v>
      </c>
      <c r="J5" s="20">
        <v>0</v>
      </c>
      <c r="K5" s="16">
        <v>2</v>
      </c>
      <c r="L5" s="14">
        <v>0</v>
      </c>
      <c r="M5" s="22">
        <f t="shared" ref="M5:M10" si="0">IF(OR($K5="",$L5="",$E5="",$F5=""),"",IF($E5=$F5,IF($K5=$L5,IF($E5=$K5,10,6),0),IF(OR($K5=$L5,SIGN($E5-$F5)&lt;&gt;SIGN($K5-$L5)),0,IF(AND($E5=$K5,$F5=$L5),10,IF(($E5-$F5)=($K5-$L5),6,IF(MAX($E5,$F5)=MAX($K5,$L5),5,IF(MIN($E5,$F5)=MIN($K5,$L5),4,3)))))))</f>
        <v>10</v>
      </c>
      <c r="N5" s="23">
        <f t="shared" ref="N5:N10" si="1">IF(OR($K5="",$L5="",$G5="",$H5=""),"",IF(AND($G5=$K5,$H5=$L5),5+IF(($K5+$L5)&gt;=6,2,IF(($K5+$L5)=5,1,0)),IF(AND($G5=$H5,$K5=$L5),3,IF(AND($G5&lt;&gt;$H5,$K5&lt;&gt;$L5,SIGN($G5-$H5)=SIGN($K5-$L5)),2,0))))</f>
        <v>2</v>
      </c>
      <c r="O5" s="23">
        <f t="shared" ref="O5:O10" si="2">IF(OR($K5="",$L5="",$I5="",$J5=""),"",IF(AND($I5=$K5,$J5=$L5),3,IF(SIGN($I5-$J5)=SIGN($K5-$L5),1,0)))</f>
        <v>1</v>
      </c>
      <c r="P5" s="4"/>
    </row>
    <row r="6" spans="1:16" x14ac:dyDescent="0.25">
      <c r="A6" s="5" t="s">
        <v>16</v>
      </c>
      <c r="B6" s="5">
        <v>2</v>
      </c>
      <c r="C6" s="6" t="s">
        <v>19</v>
      </c>
      <c r="D6" s="15" t="s">
        <v>20</v>
      </c>
      <c r="E6" s="11">
        <v>2</v>
      </c>
      <c r="F6" s="12">
        <v>1</v>
      </c>
      <c r="G6" s="11">
        <v>2</v>
      </c>
      <c r="H6" s="12">
        <v>1</v>
      </c>
      <c r="I6" s="19">
        <v>1</v>
      </c>
      <c r="J6" s="21">
        <v>1</v>
      </c>
      <c r="K6" s="17">
        <v>2</v>
      </c>
      <c r="L6" s="15">
        <v>1</v>
      </c>
      <c r="M6" s="24">
        <f t="shared" si="0"/>
        <v>10</v>
      </c>
      <c r="N6" s="25">
        <f t="shared" si="1"/>
        <v>5</v>
      </c>
      <c r="O6" s="25">
        <f t="shared" si="2"/>
        <v>0</v>
      </c>
      <c r="P6" s="7"/>
    </row>
    <row r="7" spans="1:16" x14ac:dyDescent="0.25">
      <c r="A7" s="2" t="s">
        <v>16</v>
      </c>
      <c r="B7" s="2">
        <v>3</v>
      </c>
      <c r="C7" s="3" t="s">
        <v>20</v>
      </c>
      <c r="D7" s="14" t="s">
        <v>18</v>
      </c>
      <c r="E7" s="10">
        <v>2</v>
      </c>
      <c r="F7" s="13">
        <v>1</v>
      </c>
      <c r="G7" s="10">
        <v>2</v>
      </c>
      <c r="H7" s="13">
        <v>1</v>
      </c>
      <c r="I7" s="18">
        <v>1</v>
      </c>
      <c r="J7" s="20">
        <v>0</v>
      </c>
      <c r="K7" s="16"/>
      <c r="L7" s="14"/>
      <c r="M7" s="22" t="str">
        <f t="shared" si="0"/>
        <v/>
      </c>
      <c r="N7" s="23" t="str">
        <f t="shared" si="1"/>
        <v/>
      </c>
      <c r="O7" s="23" t="str">
        <f t="shared" si="2"/>
        <v/>
      </c>
      <c r="P7" s="4"/>
    </row>
    <row r="8" spans="1:16" x14ac:dyDescent="0.25">
      <c r="A8" s="5" t="s">
        <v>16</v>
      </c>
      <c r="B8" s="5">
        <v>4</v>
      </c>
      <c r="C8" s="6" t="s">
        <v>17</v>
      </c>
      <c r="D8" s="15" t="s">
        <v>19</v>
      </c>
      <c r="E8" s="11">
        <v>2</v>
      </c>
      <c r="F8" s="12">
        <v>1</v>
      </c>
      <c r="G8" s="11">
        <v>2</v>
      </c>
      <c r="H8" s="12">
        <v>1</v>
      </c>
      <c r="I8" s="19">
        <v>1</v>
      </c>
      <c r="J8" s="21">
        <v>1</v>
      </c>
      <c r="K8" s="17"/>
      <c r="L8" s="15"/>
      <c r="M8" s="24" t="str">
        <f t="shared" si="0"/>
        <v/>
      </c>
      <c r="N8" s="25" t="str">
        <f t="shared" si="1"/>
        <v/>
      </c>
      <c r="O8" s="25" t="str">
        <f t="shared" si="2"/>
        <v/>
      </c>
      <c r="P8" s="7"/>
    </row>
    <row r="9" spans="1:16" x14ac:dyDescent="0.25">
      <c r="A9" s="2" t="s">
        <v>16</v>
      </c>
      <c r="B9" s="2">
        <v>5</v>
      </c>
      <c r="C9" s="3" t="s">
        <v>20</v>
      </c>
      <c r="D9" s="14" t="s">
        <v>17</v>
      </c>
      <c r="E9" s="10">
        <v>2</v>
      </c>
      <c r="F9" s="13">
        <v>1</v>
      </c>
      <c r="G9" s="10">
        <v>1</v>
      </c>
      <c r="H9" s="13">
        <v>2</v>
      </c>
      <c r="I9" s="18">
        <v>1</v>
      </c>
      <c r="J9" s="20">
        <v>1</v>
      </c>
      <c r="K9" s="16"/>
      <c r="L9" s="14"/>
      <c r="M9" s="22" t="str">
        <f t="shared" si="0"/>
        <v/>
      </c>
      <c r="N9" s="23" t="str">
        <f t="shared" si="1"/>
        <v/>
      </c>
      <c r="O9" s="23" t="str">
        <f t="shared" si="2"/>
        <v/>
      </c>
      <c r="P9" s="4"/>
    </row>
    <row r="10" spans="1:16" x14ac:dyDescent="0.25">
      <c r="A10" s="5" t="s">
        <v>16</v>
      </c>
      <c r="B10" s="5">
        <v>6</v>
      </c>
      <c r="C10" s="6" t="s">
        <v>18</v>
      </c>
      <c r="D10" s="15" t="s">
        <v>19</v>
      </c>
      <c r="E10" s="11">
        <v>1</v>
      </c>
      <c r="F10" s="12">
        <v>2</v>
      </c>
      <c r="G10" s="11">
        <v>1</v>
      </c>
      <c r="H10" s="12">
        <v>2</v>
      </c>
      <c r="I10" s="19">
        <v>0</v>
      </c>
      <c r="J10" s="21">
        <v>1</v>
      </c>
      <c r="K10" s="17"/>
      <c r="L10" s="15"/>
      <c r="M10" s="24" t="str">
        <f t="shared" si="0"/>
        <v/>
      </c>
      <c r="N10" s="25" t="str">
        <f t="shared" si="1"/>
        <v/>
      </c>
      <c r="O10" s="25" t="str">
        <f t="shared" si="2"/>
        <v/>
      </c>
      <c r="P10" s="7"/>
    </row>
    <row r="11" spans="1:16" ht="18" customHeight="1" x14ac:dyDescent="0.25">
      <c r="A11" s="30" t="s">
        <v>21</v>
      </c>
      <c r="B11" s="31"/>
      <c r="C11" s="31"/>
      <c r="D11" s="31"/>
      <c r="E11" s="31"/>
      <c r="F11" s="31"/>
      <c r="G11" s="31"/>
      <c r="H11" s="31"/>
      <c r="I11" s="31"/>
      <c r="J11" s="31"/>
      <c r="K11" s="31"/>
      <c r="L11" s="31"/>
      <c r="M11" s="31"/>
      <c r="N11" s="31"/>
      <c r="O11" s="31"/>
      <c r="P11" s="31"/>
    </row>
    <row r="12" spans="1:16" x14ac:dyDescent="0.25">
      <c r="A12" s="2" t="s">
        <v>22</v>
      </c>
      <c r="B12" s="2">
        <v>7</v>
      </c>
      <c r="C12" s="3" t="s">
        <v>23</v>
      </c>
      <c r="D12" s="14" t="s">
        <v>24</v>
      </c>
      <c r="E12" s="10">
        <v>2</v>
      </c>
      <c r="F12" s="13">
        <v>0</v>
      </c>
      <c r="G12" s="10">
        <v>2</v>
      </c>
      <c r="H12" s="13">
        <v>0</v>
      </c>
      <c r="I12" s="18">
        <v>1</v>
      </c>
      <c r="J12" s="20">
        <v>0</v>
      </c>
      <c r="K12" s="16"/>
      <c r="L12" s="14"/>
      <c r="M12" s="22" t="str">
        <f t="shared" ref="M12:M17" si="3">IF(OR($K12="",$L12="",$E12="",$F12=""),"",IF($E12=$F12,IF($K12=$L12,IF($E12=$K12,10,6),0),IF(OR($K12=$L12,SIGN($E12-$F12)&lt;&gt;SIGN($K12-$L12)),0,IF(AND($E12=$K12,$F12=$L12),10,IF(($E12-$F12)=($K12-$L12),6,IF(MAX($E12,$F12)=MAX($K12,$L12),5,IF(MIN($E12,$F12)=MIN($K12,$L12),4,3)))))))</f>
        <v/>
      </c>
      <c r="N12" s="23" t="str">
        <f t="shared" ref="N12:N17" si="4">IF(OR($K12="",$L12="",$G12="",$H12=""),"",IF(AND($G12=$K12,$H12=$L12),5+IF(($K12+$L12)&gt;=6,2,IF(($K12+$L12)=5,1,0)),IF(AND($G12=$H12,$K12=$L12),3,IF(AND($G12&lt;&gt;$H12,$K12&lt;&gt;$L12,SIGN($G12-$H12)=SIGN($K12-$L12)),2,0))))</f>
        <v/>
      </c>
      <c r="O12" s="23" t="str">
        <f t="shared" ref="O12:O17" si="5">IF(OR($K12="",$L12="",$I12="",$J12=""),"",IF(AND($I12=$K12,$J12=$L12),3,IF(SIGN($I12-$J12)=SIGN($K12-$L12),1,0)))</f>
        <v/>
      </c>
      <c r="P12" s="4"/>
    </row>
    <row r="13" spans="1:16" x14ac:dyDescent="0.25">
      <c r="A13" s="5" t="s">
        <v>22</v>
      </c>
      <c r="B13" s="5">
        <v>8</v>
      </c>
      <c r="C13" s="6" t="s">
        <v>25</v>
      </c>
      <c r="D13" s="15" t="s">
        <v>26</v>
      </c>
      <c r="E13" s="11">
        <v>0</v>
      </c>
      <c r="F13" s="12">
        <v>2</v>
      </c>
      <c r="G13" s="11">
        <v>1</v>
      </c>
      <c r="H13" s="12">
        <v>4</v>
      </c>
      <c r="I13" s="19">
        <v>0</v>
      </c>
      <c r="J13" s="21">
        <v>2</v>
      </c>
      <c r="K13" s="17"/>
      <c r="L13" s="15"/>
      <c r="M13" s="24" t="str">
        <f t="shared" si="3"/>
        <v/>
      </c>
      <c r="N13" s="25" t="str">
        <f t="shared" si="4"/>
        <v/>
      </c>
      <c r="O13" s="25" t="str">
        <f t="shared" si="5"/>
        <v/>
      </c>
      <c r="P13" s="7"/>
    </row>
    <row r="14" spans="1:16" x14ac:dyDescent="0.25">
      <c r="A14" s="2" t="s">
        <v>22</v>
      </c>
      <c r="B14" s="2">
        <v>9</v>
      </c>
      <c r="C14" s="3" t="s">
        <v>26</v>
      </c>
      <c r="D14" s="14" t="s">
        <v>24</v>
      </c>
      <c r="E14" s="10">
        <v>2</v>
      </c>
      <c r="F14" s="13">
        <v>0</v>
      </c>
      <c r="G14" s="10">
        <v>4</v>
      </c>
      <c r="H14" s="13">
        <v>1</v>
      </c>
      <c r="I14" s="18">
        <v>2</v>
      </c>
      <c r="J14" s="20">
        <v>0</v>
      </c>
      <c r="K14" s="16"/>
      <c r="L14" s="14"/>
      <c r="M14" s="22" t="str">
        <f t="shared" si="3"/>
        <v/>
      </c>
      <c r="N14" s="23" t="str">
        <f t="shared" si="4"/>
        <v/>
      </c>
      <c r="O14" s="23" t="str">
        <f t="shared" si="5"/>
        <v/>
      </c>
      <c r="P14" s="4"/>
    </row>
    <row r="15" spans="1:16" x14ac:dyDescent="0.25">
      <c r="A15" s="5" t="s">
        <v>22</v>
      </c>
      <c r="B15" s="5">
        <v>10</v>
      </c>
      <c r="C15" s="6" t="s">
        <v>23</v>
      </c>
      <c r="D15" s="15" t="s">
        <v>25</v>
      </c>
      <c r="E15" s="11">
        <v>2</v>
      </c>
      <c r="F15" s="12">
        <v>0</v>
      </c>
      <c r="G15" s="11">
        <v>4</v>
      </c>
      <c r="H15" s="12">
        <v>1</v>
      </c>
      <c r="I15" s="19">
        <v>2</v>
      </c>
      <c r="J15" s="21">
        <v>0</v>
      </c>
      <c r="K15" s="17"/>
      <c r="L15" s="15"/>
      <c r="M15" s="24" t="str">
        <f t="shared" si="3"/>
        <v/>
      </c>
      <c r="N15" s="25" t="str">
        <f t="shared" si="4"/>
        <v/>
      </c>
      <c r="O15" s="25" t="str">
        <f t="shared" si="5"/>
        <v/>
      </c>
      <c r="P15" s="7"/>
    </row>
    <row r="16" spans="1:16" x14ac:dyDescent="0.25">
      <c r="A16" s="2" t="s">
        <v>22</v>
      </c>
      <c r="B16" s="2">
        <v>11</v>
      </c>
      <c r="C16" s="3" t="s">
        <v>26</v>
      </c>
      <c r="D16" s="14" t="s">
        <v>23</v>
      </c>
      <c r="E16" s="10">
        <v>2</v>
      </c>
      <c r="F16" s="13">
        <v>1</v>
      </c>
      <c r="G16" s="10">
        <v>1</v>
      </c>
      <c r="H16" s="13">
        <v>2</v>
      </c>
      <c r="I16" s="18">
        <v>1</v>
      </c>
      <c r="J16" s="20">
        <v>0</v>
      </c>
      <c r="K16" s="16"/>
      <c r="L16" s="14"/>
      <c r="M16" s="22" t="str">
        <f t="shared" si="3"/>
        <v/>
      </c>
      <c r="N16" s="23" t="str">
        <f t="shared" si="4"/>
        <v/>
      </c>
      <c r="O16" s="23" t="str">
        <f t="shared" si="5"/>
        <v/>
      </c>
      <c r="P16" s="4"/>
    </row>
    <row r="17" spans="1:16" x14ac:dyDescent="0.25">
      <c r="A17" s="5" t="s">
        <v>22</v>
      </c>
      <c r="B17" s="5">
        <v>12</v>
      </c>
      <c r="C17" s="6" t="s">
        <v>24</v>
      </c>
      <c r="D17" s="15" t="s">
        <v>25</v>
      </c>
      <c r="E17" s="11">
        <v>2</v>
      </c>
      <c r="F17" s="12">
        <v>1</v>
      </c>
      <c r="G17" s="11">
        <v>2</v>
      </c>
      <c r="H17" s="12">
        <v>1</v>
      </c>
      <c r="I17" s="19">
        <v>1</v>
      </c>
      <c r="J17" s="21">
        <v>0</v>
      </c>
      <c r="K17" s="17"/>
      <c r="L17" s="15"/>
      <c r="M17" s="24" t="str">
        <f t="shared" si="3"/>
        <v/>
      </c>
      <c r="N17" s="25" t="str">
        <f t="shared" si="4"/>
        <v/>
      </c>
      <c r="O17" s="25" t="str">
        <f t="shared" si="5"/>
        <v/>
      </c>
      <c r="P17" s="7"/>
    </row>
    <row r="18" spans="1:16" ht="18" customHeight="1" x14ac:dyDescent="0.25">
      <c r="A18" s="30" t="s">
        <v>27</v>
      </c>
      <c r="B18" s="31"/>
      <c r="C18" s="31"/>
      <c r="D18" s="31"/>
      <c r="E18" s="31"/>
      <c r="F18" s="31"/>
      <c r="G18" s="31"/>
      <c r="H18" s="31"/>
      <c r="I18" s="31"/>
      <c r="J18" s="31"/>
      <c r="K18" s="31"/>
      <c r="L18" s="31"/>
      <c r="M18" s="31"/>
      <c r="N18" s="31"/>
      <c r="O18" s="31"/>
      <c r="P18" s="31"/>
    </row>
    <row r="19" spans="1:16" x14ac:dyDescent="0.25">
      <c r="A19" s="2" t="s">
        <v>28</v>
      </c>
      <c r="B19" s="2">
        <v>13</v>
      </c>
      <c r="C19" s="3" t="s">
        <v>29</v>
      </c>
      <c r="D19" s="14" t="s">
        <v>30</v>
      </c>
      <c r="E19" s="10">
        <v>0</v>
      </c>
      <c r="F19" s="13">
        <v>2</v>
      </c>
      <c r="G19" s="10">
        <v>1</v>
      </c>
      <c r="H19" s="13">
        <v>4</v>
      </c>
      <c r="I19" s="18">
        <v>0</v>
      </c>
      <c r="J19" s="20">
        <v>2</v>
      </c>
      <c r="K19" s="16"/>
      <c r="L19" s="14"/>
      <c r="M19" s="22" t="str">
        <f t="shared" ref="M19:M24" si="6">IF(OR($K19="",$L19="",$E19="",$F19=""),"",IF($E19=$F19,IF($K19=$L19,IF($E19=$K19,10,6),0),IF(OR($K19=$L19,SIGN($E19-$F19)&lt;&gt;SIGN($K19-$L19)),0,IF(AND($E19=$K19,$F19=$L19),10,IF(($E19-$F19)=($K19-$L19),6,IF(MAX($E19,$F19)=MAX($K19,$L19),5,IF(MIN($E19,$F19)=MIN($K19,$L19),4,3)))))))</f>
        <v/>
      </c>
      <c r="N19" s="23" t="str">
        <f t="shared" ref="N19:N24" si="7">IF(OR($K19="",$L19="",$G19="",$H19=""),"",IF(AND($G19=$K19,$H19=$L19),5+IF(($K19+$L19)&gt;=6,2,IF(($K19+$L19)=5,1,0)),IF(AND($G19=$H19,$K19=$L19),3,IF(AND($G19&lt;&gt;$H19,$K19&lt;&gt;$L19,SIGN($G19-$H19)=SIGN($K19-$L19)),2,0))))</f>
        <v/>
      </c>
      <c r="O19" s="23" t="str">
        <f t="shared" ref="O19:O24" si="8">IF(OR($K19="",$L19="",$I19="",$J19=""),"",IF(AND($I19=$K19,$J19=$L19),3,IF(SIGN($I19-$J19)=SIGN($K19-$L19),1,0)))</f>
        <v/>
      </c>
      <c r="P19" s="4"/>
    </row>
    <row r="20" spans="1:16" x14ac:dyDescent="0.25">
      <c r="A20" s="5" t="s">
        <v>28</v>
      </c>
      <c r="B20" s="5">
        <v>14</v>
      </c>
      <c r="C20" s="6" t="s">
        <v>31</v>
      </c>
      <c r="D20" s="15" t="s">
        <v>32</v>
      </c>
      <c r="E20" s="11">
        <v>2</v>
      </c>
      <c r="F20" s="12">
        <v>1</v>
      </c>
      <c r="G20" s="11">
        <v>2</v>
      </c>
      <c r="H20" s="12">
        <v>1</v>
      </c>
      <c r="I20" s="19">
        <v>1</v>
      </c>
      <c r="J20" s="21">
        <v>0</v>
      </c>
      <c r="K20" s="17"/>
      <c r="L20" s="15"/>
      <c r="M20" s="24" t="str">
        <f t="shared" si="6"/>
        <v/>
      </c>
      <c r="N20" s="25" t="str">
        <f t="shared" si="7"/>
        <v/>
      </c>
      <c r="O20" s="25" t="str">
        <f t="shared" si="8"/>
        <v/>
      </c>
      <c r="P20" s="7"/>
    </row>
    <row r="21" spans="1:16" x14ac:dyDescent="0.25">
      <c r="A21" s="2" t="s">
        <v>28</v>
      </c>
      <c r="B21" s="2">
        <v>15</v>
      </c>
      <c r="C21" s="3" t="s">
        <v>31</v>
      </c>
      <c r="D21" s="14" t="s">
        <v>29</v>
      </c>
      <c r="E21" s="10">
        <v>2</v>
      </c>
      <c r="F21" s="13">
        <v>0</v>
      </c>
      <c r="G21" s="10">
        <v>4</v>
      </c>
      <c r="H21" s="13">
        <v>1</v>
      </c>
      <c r="I21" s="18">
        <v>4</v>
      </c>
      <c r="J21" s="20">
        <v>0</v>
      </c>
      <c r="K21" s="16"/>
      <c r="L21" s="14"/>
      <c r="M21" s="22" t="str">
        <f t="shared" si="6"/>
        <v/>
      </c>
      <c r="N21" s="23" t="str">
        <f t="shared" si="7"/>
        <v/>
      </c>
      <c r="O21" s="23" t="str">
        <f t="shared" si="8"/>
        <v/>
      </c>
      <c r="P21" s="4"/>
    </row>
    <row r="22" spans="1:16" x14ac:dyDescent="0.25">
      <c r="A22" s="5" t="s">
        <v>28</v>
      </c>
      <c r="B22" s="5">
        <v>16</v>
      </c>
      <c r="C22" s="6" t="s">
        <v>30</v>
      </c>
      <c r="D22" s="15" t="s">
        <v>32</v>
      </c>
      <c r="E22" s="11">
        <v>0</v>
      </c>
      <c r="F22" s="12">
        <v>2</v>
      </c>
      <c r="G22" s="11">
        <v>0</v>
      </c>
      <c r="H22" s="12">
        <v>2</v>
      </c>
      <c r="I22" s="19">
        <v>0</v>
      </c>
      <c r="J22" s="21">
        <v>1</v>
      </c>
      <c r="K22" s="17"/>
      <c r="L22" s="15"/>
      <c r="M22" s="24" t="str">
        <f t="shared" si="6"/>
        <v/>
      </c>
      <c r="N22" s="25" t="str">
        <f t="shared" si="7"/>
        <v/>
      </c>
      <c r="O22" s="25" t="str">
        <f t="shared" si="8"/>
        <v/>
      </c>
      <c r="P22" s="7"/>
    </row>
    <row r="23" spans="1:16" x14ac:dyDescent="0.25">
      <c r="A23" s="2" t="s">
        <v>28</v>
      </c>
      <c r="B23" s="2">
        <v>17</v>
      </c>
      <c r="C23" s="3" t="s">
        <v>30</v>
      </c>
      <c r="D23" s="14" t="s">
        <v>31</v>
      </c>
      <c r="E23" s="10">
        <v>0</v>
      </c>
      <c r="F23" s="13">
        <v>2</v>
      </c>
      <c r="G23" s="10">
        <v>1</v>
      </c>
      <c r="H23" s="13">
        <v>4</v>
      </c>
      <c r="I23" s="18">
        <v>0</v>
      </c>
      <c r="J23" s="20">
        <v>2</v>
      </c>
      <c r="K23" s="16"/>
      <c r="L23" s="14"/>
      <c r="M23" s="22" t="str">
        <f t="shared" si="6"/>
        <v/>
      </c>
      <c r="N23" s="23" t="str">
        <f t="shared" si="7"/>
        <v/>
      </c>
      <c r="O23" s="23" t="str">
        <f t="shared" si="8"/>
        <v/>
      </c>
      <c r="P23" s="4"/>
    </row>
    <row r="24" spans="1:16" x14ac:dyDescent="0.25">
      <c r="A24" s="5" t="s">
        <v>28</v>
      </c>
      <c r="B24" s="5">
        <v>18</v>
      </c>
      <c r="C24" s="6" t="s">
        <v>32</v>
      </c>
      <c r="D24" s="15" t="s">
        <v>29</v>
      </c>
      <c r="E24" s="11">
        <v>2</v>
      </c>
      <c r="F24" s="12">
        <v>0</v>
      </c>
      <c r="G24" s="11">
        <v>4</v>
      </c>
      <c r="H24" s="12">
        <v>1</v>
      </c>
      <c r="I24" s="19">
        <v>2</v>
      </c>
      <c r="J24" s="21">
        <v>0</v>
      </c>
      <c r="K24" s="17"/>
      <c r="L24" s="15"/>
      <c r="M24" s="24" t="str">
        <f t="shared" si="6"/>
        <v/>
      </c>
      <c r="N24" s="25" t="str">
        <f t="shared" si="7"/>
        <v/>
      </c>
      <c r="O24" s="25" t="str">
        <f t="shared" si="8"/>
        <v/>
      </c>
      <c r="P24" s="7"/>
    </row>
    <row r="25" spans="1:16" ht="18" customHeight="1" x14ac:dyDescent="0.25">
      <c r="A25" s="30" t="s">
        <v>33</v>
      </c>
      <c r="B25" s="31"/>
      <c r="C25" s="31"/>
      <c r="D25" s="31"/>
      <c r="E25" s="31"/>
      <c r="F25" s="31"/>
      <c r="G25" s="31"/>
      <c r="H25" s="31"/>
      <c r="I25" s="31"/>
      <c r="J25" s="31"/>
      <c r="K25" s="31"/>
      <c r="L25" s="31"/>
      <c r="M25" s="31"/>
      <c r="N25" s="31"/>
      <c r="O25" s="31"/>
      <c r="P25" s="31"/>
    </row>
    <row r="26" spans="1:16" x14ac:dyDescent="0.25">
      <c r="A26" s="2" t="s">
        <v>34</v>
      </c>
      <c r="B26" s="2">
        <v>19</v>
      </c>
      <c r="C26" s="3" t="s">
        <v>35</v>
      </c>
      <c r="D26" s="14" t="s">
        <v>36</v>
      </c>
      <c r="E26" s="10">
        <v>2</v>
      </c>
      <c r="F26" s="13">
        <v>1</v>
      </c>
      <c r="G26" s="10">
        <v>1</v>
      </c>
      <c r="H26" s="13">
        <v>2</v>
      </c>
      <c r="I26" s="18">
        <v>0</v>
      </c>
      <c r="J26" s="20">
        <v>0</v>
      </c>
      <c r="K26" s="16"/>
      <c r="L26" s="14"/>
      <c r="M26" s="22" t="str">
        <f t="shared" ref="M26:M31" si="9">IF(OR($K26="",$L26="",$E26="",$F26=""),"",IF($E26=$F26,IF($K26=$L26,IF($E26=$K26,10,6),0),IF(OR($K26=$L26,SIGN($E26-$F26)&lt;&gt;SIGN($K26-$L26)),0,IF(AND($E26=$K26,$F26=$L26),10,IF(($E26-$F26)=($K26-$L26),6,IF(MAX($E26,$F26)=MAX($K26,$L26),5,IF(MIN($E26,$F26)=MIN($K26,$L26),4,3)))))))</f>
        <v/>
      </c>
      <c r="N26" s="23" t="str">
        <f t="shared" ref="N26:N31" si="10">IF(OR($K26="",$L26="",$G26="",$H26=""),"",IF(AND($G26=$K26,$H26=$L26),5+IF(($K26+$L26)&gt;=6,2,IF(($K26+$L26)=5,1,0)),IF(AND($G26=$H26,$K26=$L26),3,IF(AND($G26&lt;&gt;$H26,$K26&lt;&gt;$L26,SIGN($G26-$H26)=SIGN($K26-$L26)),2,0))))</f>
        <v/>
      </c>
      <c r="O26" s="23" t="str">
        <f t="shared" ref="O26:O31" si="11">IF(OR($K26="",$L26="",$I26="",$J26=""),"",IF(AND($I26=$K26,$J26=$L26),3,IF(SIGN($I26-$J26)=SIGN($K26-$L26),1,0)))</f>
        <v/>
      </c>
      <c r="P26" s="4"/>
    </row>
    <row r="27" spans="1:16" x14ac:dyDescent="0.25">
      <c r="A27" s="5" t="s">
        <v>34</v>
      </c>
      <c r="B27" s="5">
        <v>20</v>
      </c>
      <c r="C27" s="6" t="s">
        <v>37</v>
      </c>
      <c r="D27" s="15" t="s">
        <v>38</v>
      </c>
      <c r="E27" s="11">
        <v>2</v>
      </c>
      <c r="F27" s="12">
        <v>1</v>
      </c>
      <c r="G27" s="11">
        <v>2</v>
      </c>
      <c r="H27" s="12">
        <v>1</v>
      </c>
      <c r="I27" s="19">
        <v>1</v>
      </c>
      <c r="J27" s="21">
        <v>1</v>
      </c>
      <c r="K27" s="17"/>
      <c r="L27" s="15"/>
      <c r="M27" s="24" t="str">
        <f t="shared" si="9"/>
        <v/>
      </c>
      <c r="N27" s="25" t="str">
        <f t="shared" si="10"/>
        <v/>
      </c>
      <c r="O27" s="25" t="str">
        <f t="shared" si="11"/>
        <v/>
      </c>
      <c r="P27" s="7"/>
    </row>
    <row r="28" spans="1:16" x14ac:dyDescent="0.25">
      <c r="A28" s="2" t="s">
        <v>34</v>
      </c>
      <c r="B28" s="2">
        <v>21</v>
      </c>
      <c r="C28" s="3" t="s">
        <v>38</v>
      </c>
      <c r="D28" s="14" t="s">
        <v>36</v>
      </c>
      <c r="E28" s="10">
        <v>2</v>
      </c>
      <c r="F28" s="13">
        <v>1</v>
      </c>
      <c r="G28" s="10">
        <v>1</v>
      </c>
      <c r="H28" s="13">
        <v>2</v>
      </c>
      <c r="I28" s="18">
        <v>1</v>
      </c>
      <c r="J28" s="20">
        <v>1</v>
      </c>
      <c r="K28" s="16"/>
      <c r="L28" s="14"/>
      <c r="M28" s="22" t="str">
        <f t="shared" si="9"/>
        <v/>
      </c>
      <c r="N28" s="23" t="str">
        <f t="shared" si="10"/>
        <v/>
      </c>
      <c r="O28" s="23" t="str">
        <f t="shared" si="11"/>
        <v/>
      </c>
      <c r="P28" s="4"/>
    </row>
    <row r="29" spans="1:16" x14ac:dyDescent="0.25">
      <c r="A29" s="5" t="s">
        <v>34</v>
      </c>
      <c r="B29" s="5">
        <v>22</v>
      </c>
      <c r="C29" s="6" t="s">
        <v>35</v>
      </c>
      <c r="D29" s="15" t="s">
        <v>37</v>
      </c>
      <c r="E29" s="11">
        <v>1</v>
      </c>
      <c r="F29" s="12">
        <v>2</v>
      </c>
      <c r="G29" s="11">
        <v>1</v>
      </c>
      <c r="H29" s="12">
        <v>2</v>
      </c>
      <c r="I29" s="19">
        <v>0</v>
      </c>
      <c r="J29" s="21">
        <v>1</v>
      </c>
      <c r="K29" s="17"/>
      <c r="L29" s="15"/>
      <c r="M29" s="24" t="str">
        <f t="shared" si="9"/>
        <v/>
      </c>
      <c r="N29" s="25" t="str">
        <f t="shared" si="10"/>
        <v/>
      </c>
      <c r="O29" s="25" t="str">
        <f t="shared" si="11"/>
        <v/>
      </c>
      <c r="P29" s="7"/>
    </row>
    <row r="30" spans="1:16" x14ac:dyDescent="0.25">
      <c r="A30" s="2" t="s">
        <v>34</v>
      </c>
      <c r="B30" s="2">
        <v>23</v>
      </c>
      <c r="C30" s="3" t="s">
        <v>38</v>
      </c>
      <c r="D30" s="14" t="s">
        <v>35</v>
      </c>
      <c r="E30" s="10">
        <v>2</v>
      </c>
      <c r="F30" s="13">
        <v>1</v>
      </c>
      <c r="G30" s="10">
        <v>2</v>
      </c>
      <c r="H30" s="13">
        <v>1</v>
      </c>
      <c r="I30" s="18">
        <v>2</v>
      </c>
      <c r="J30" s="20">
        <v>1</v>
      </c>
      <c r="K30" s="16"/>
      <c r="L30" s="14"/>
      <c r="M30" s="22" t="str">
        <f t="shared" si="9"/>
        <v/>
      </c>
      <c r="N30" s="23" t="str">
        <f t="shared" si="10"/>
        <v/>
      </c>
      <c r="O30" s="23" t="str">
        <f t="shared" si="11"/>
        <v/>
      </c>
      <c r="P30" s="4"/>
    </row>
    <row r="31" spans="1:16" x14ac:dyDescent="0.25">
      <c r="A31" s="5" t="s">
        <v>34</v>
      </c>
      <c r="B31" s="5">
        <v>24</v>
      </c>
      <c r="C31" s="6" t="s">
        <v>36</v>
      </c>
      <c r="D31" s="15" t="s">
        <v>37</v>
      </c>
      <c r="E31" s="11">
        <v>1</v>
      </c>
      <c r="F31" s="12">
        <v>1</v>
      </c>
      <c r="G31" s="11">
        <v>1</v>
      </c>
      <c r="H31" s="12">
        <v>1</v>
      </c>
      <c r="I31" s="19">
        <v>0</v>
      </c>
      <c r="J31" s="21">
        <v>0</v>
      </c>
      <c r="K31" s="17"/>
      <c r="L31" s="15"/>
      <c r="M31" s="24" t="str">
        <f t="shared" si="9"/>
        <v/>
      </c>
      <c r="N31" s="25" t="str">
        <f t="shared" si="10"/>
        <v/>
      </c>
      <c r="O31" s="25" t="str">
        <f t="shared" si="11"/>
        <v/>
      </c>
      <c r="P31" s="7"/>
    </row>
    <row r="32" spans="1:16" ht="18" customHeight="1" x14ac:dyDescent="0.25">
      <c r="A32" s="30" t="s">
        <v>39</v>
      </c>
      <c r="B32" s="31"/>
      <c r="C32" s="31"/>
      <c r="D32" s="31"/>
      <c r="E32" s="31"/>
      <c r="F32" s="31"/>
      <c r="G32" s="31"/>
      <c r="H32" s="31"/>
      <c r="I32" s="31"/>
      <c r="J32" s="31"/>
      <c r="K32" s="31"/>
      <c r="L32" s="31"/>
      <c r="M32" s="31"/>
      <c r="N32" s="31"/>
      <c r="O32" s="31"/>
      <c r="P32" s="31"/>
    </row>
    <row r="33" spans="1:16" x14ac:dyDescent="0.25">
      <c r="A33" s="2" t="s">
        <v>40</v>
      </c>
      <c r="B33" s="2">
        <v>25</v>
      </c>
      <c r="C33" s="3" t="s">
        <v>41</v>
      </c>
      <c r="D33" s="14" t="s">
        <v>42</v>
      </c>
      <c r="E33" s="10">
        <v>1</v>
      </c>
      <c r="F33" s="13">
        <v>1</v>
      </c>
      <c r="G33" s="10">
        <v>1</v>
      </c>
      <c r="H33" s="13">
        <v>1</v>
      </c>
      <c r="I33" s="18">
        <v>0</v>
      </c>
      <c r="J33" s="20">
        <v>0</v>
      </c>
      <c r="K33" s="16"/>
      <c r="L33" s="14"/>
      <c r="M33" s="22" t="str">
        <f t="shared" ref="M33:M38" si="12">IF(OR($K33="",$L33="",$E33="",$F33=""),"",IF($E33=$F33,IF($K33=$L33,IF($E33=$K33,10,6),0),IF(OR($K33=$L33,SIGN($E33-$F33)&lt;&gt;SIGN($K33-$L33)),0,IF(AND($E33=$K33,$F33=$L33),10,IF(($E33-$F33)=($K33-$L33),6,IF(MAX($E33,$F33)=MAX($K33,$L33),5,IF(MIN($E33,$F33)=MIN($K33,$L33),4,3)))))))</f>
        <v/>
      </c>
      <c r="N33" s="23" t="str">
        <f t="shared" ref="N33:N38" si="13">IF(OR($K33="",$L33="",$G33="",$H33=""),"",IF(AND($G33=$K33,$H33=$L33),5+IF(($K33+$L33)&gt;=6,2,IF(($K33+$L33)=5,1,0)),IF(AND($G33=$H33,$K33=$L33),3,IF(AND($G33&lt;&gt;$H33,$K33&lt;&gt;$L33,SIGN($G33-$H33)=SIGN($K33-$L33)),2,0))))</f>
        <v/>
      </c>
      <c r="O33" s="23" t="str">
        <f t="shared" ref="O33:O38" si="14">IF(OR($K33="",$L33="",$I33="",$J33=""),"",IF(AND($I33=$K33,$J33=$L33),3,IF(SIGN($I33-$J33)=SIGN($K33-$L33),1,0)))</f>
        <v/>
      </c>
      <c r="P33" s="4"/>
    </row>
    <row r="34" spans="1:16" x14ac:dyDescent="0.25">
      <c r="A34" s="5" t="s">
        <v>40</v>
      </c>
      <c r="B34" s="5">
        <v>26</v>
      </c>
      <c r="C34" s="6" t="s">
        <v>43</v>
      </c>
      <c r="D34" s="15" t="s">
        <v>44</v>
      </c>
      <c r="E34" s="11">
        <v>2</v>
      </c>
      <c r="F34" s="12">
        <v>0</v>
      </c>
      <c r="G34" s="11">
        <v>4</v>
      </c>
      <c r="H34" s="12">
        <v>1</v>
      </c>
      <c r="I34" s="19">
        <v>3</v>
      </c>
      <c r="J34" s="21">
        <v>0</v>
      </c>
      <c r="K34" s="17"/>
      <c r="L34" s="15"/>
      <c r="M34" s="24" t="str">
        <f t="shared" si="12"/>
        <v/>
      </c>
      <c r="N34" s="25" t="str">
        <f t="shared" si="13"/>
        <v/>
      </c>
      <c r="O34" s="25" t="str">
        <f t="shared" si="14"/>
        <v/>
      </c>
      <c r="P34" s="7"/>
    </row>
    <row r="35" spans="1:16" x14ac:dyDescent="0.25">
      <c r="A35" s="2" t="s">
        <v>40</v>
      </c>
      <c r="B35" s="2">
        <v>27</v>
      </c>
      <c r="C35" s="3" t="s">
        <v>43</v>
      </c>
      <c r="D35" s="14" t="s">
        <v>41</v>
      </c>
      <c r="E35" s="10">
        <v>2</v>
      </c>
      <c r="F35" s="13">
        <v>0</v>
      </c>
      <c r="G35" s="10">
        <v>2</v>
      </c>
      <c r="H35" s="13">
        <v>0</v>
      </c>
      <c r="I35" s="18">
        <v>1</v>
      </c>
      <c r="J35" s="20">
        <v>0</v>
      </c>
      <c r="K35" s="16"/>
      <c r="L35" s="14"/>
      <c r="M35" s="22" t="str">
        <f t="shared" si="12"/>
        <v/>
      </c>
      <c r="N35" s="23" t="str">
        <f t="shared" si="13"/>
        <v/>
      </c>
      <c r="O35" s="23" t="str">
        <f t="shared" si="14"/>
        <v/>
      </c>
      <c r="P35" s="4"/>
    </row>
    <row r="36" spans="1:16" x14ac:dyDescent="0.25">
      <c r="A36" s="5" t="s">
        <v>40</v>
      </c>
      <c r="B36" s="5">
        <v>28</v>
      </c>
      <c r="C36" s="6" t="s">
        <v>42</v>
      </c>
      <c r="D36" s="15" t="s">
        <v>44</v>
      </c>
      <c r="E36" s="11">
        <v>2</v>
      </c>
      <c r="F36" s="12">
        <v>0</v>
      </c>
      <c r="G36" s="11">
        <v>4</v>
      </c>
      <c r="H36" s="12">
        <v>1</v>
      </c>
      <c r="I36" s="19">
        <v>2</v>
      </c>
      <c r="J36" s="21">
        <v>0</v>
      </c>
      <c r="K36" s="17"/>
      <c r="L36" s="15"/>
      <c r="M36" s="24" t="str">
        <f t="shared" si="12"/>
        <v/>
      </c>
      <c r="N36" s="25" t="str">
        <f t="shared" si="13"/>
        <v/>
      </c>
      <c r="O36" s="25" t="str">
        <f t="shared" si="14"/>
        <v/>
      </c>
      <c r="P36" s="7"/>
    </row>
    <row r="37" spans="1:16" x14ac:dyDescent="0.25">
      <c r="A37" s="2" t="s">
        <v>40</v>
      </c>
      <c r="B37" s="2">
        <v>29</v>
      </c>
      <c r="C37" s="3" t="s">
        <v>44</v>
      </c>
      <c r="D37" s="14" t="s">
        <v>41</v>
      </c>
      <c r="E37" s="10">
        <v>0</v>
      </c>
      <c r="F37" s="13">
        <v>2</v>
      </c>
      <c r="G37" s="10">
        <v>1</v>
      </c>
      <c r="H37" s="13">
        <v>4</v>
      </c>
      <c r="I37" s="18">
        <v>0</v>
      </c>
      <c r="J37" s="20">
        <v>2</v>
      </c>
      <c r="K37" s="16"/>
      <c r="L37" s="14"/>
      <c r="M37" s="22" t="str">
        <f t="shared" si="12"/>
        <v/>
      </c>
      <c r="N37" s="23" t="str">
        <f t="shared" si="13"/>
        <v/>
      </c>
      <c r="O37" s="23" t="str">
        <f t="shared" si="14"/>
        <v/>
      </c>
      <c r="P37" s="4"/>
    </row>
    <row r="38" spans="1:16" x14ac:dyDescent="0.25">
      <c r="A38" s="5" t="s">
        <v>40</v>
      </c>
      <c r="B38" s="5">
        <v>30</v>
      </c>
      <c r="C38" s="6" t="s">
        <v>42</v>
      </c>
      <c r="D38" s="15" t="s">
        <v>43</v>
      </c>
      <c r="E38" s="11">
        <v>2</v>
      </c>
      <c r="F38" s="12">
        <v>1</v>
      </c>
      <c r="G38" s="11">
        <v>2</v>
      </c>
      <c r="H38" s="12">
        <v>1</v>
      </c>
      <c r="I38" s="19">
        <v>0</v>
      </c>
      <c r="J38" s="21">
        <v>0</v>
      </c>
      <c r="K38" s="17"/>
      <c r="L38" s="15"/>
      <c r="M38" s="24" t="str">
        <f t="shared" si="12"/>
        <v/>
      </c>
      <c r="N38" s="25" t="str">
        <f t="shared" si="13"/>
        <v/>
      </c>
      <c r="O38" s="25" t="str">
        <f t="shared" si="14"/>
        <v/>
      </c>
      <c r="P38" s="7"/>
    </row>
    <row r="39" spans="1:16" ht="18" customHeight="1" x14ac:dyDescent="0.25">
      <c r="A39" s="30" t="s">
        <v>45</v>
      </c>
      <c r="B39" s="31"/>
      <c r="C39" s="31"/>
      <c r="D39" s="31"/>
      <c r="E39" s="31"/>
      <c r="F39" s="31"/>
      <c r="G39" s="31"/>
      <c r="H39" s="31"/>
      <c r="I39" s="31"/>
      <c r="J39" s="31"/>
      <c r="K39" s="31"/>
      <c r="L39" s="31"/>
      <c r="M39" s="31"/>
      <c r="N39" s="31"/>
      <c r="O39" s="31"/>
      <c r="P39" s="31"/>
    </row>
    <row r="40" spans="1:16" x14ac:dyDescent="0.25">
      <c r="A40" s="2" t="s">
        <v>46</v>
      </c>
      <c r="B40" s="2">
        <v>31</v>
      </c>
      <c r="C40" s="3" t="s">
        <v>47</v>
      </c>
      <c r="D40" s="14" t="s">
        <v>48</v>
      </c>
      <c r="E40" s="10">
        <v>1</v>
      </c>
      <c r="F40" s="13">
        <v>2</v>
      </c>
      <c r="G40" s="10">
        <v>1</v>
      </c>
      <c r="H40" s="13">
        <v>2</v>
      </c>
      <c r="I40" s="18">
        <v>1</v>
      </c>
      <c r="J40" s="20">
        <v>1</v>
      </c>
      <c r="K40" s="16"/>
      <c r="L40" s="14"/>
      <c r="M40" s="22" t="str">
        <f t="shared" ref="M40:M45" si="15">IF(OR($K40="",$L40="",$E40="",$F40=""),"",IF($E40=$F40,IF($K40=$L40,IF($E40=$K40,10,6),0),IF(OR($K40=$L40,SIGN($E40-$F40)&lt;&gt;SIGN($K40-$L40)),0,IF(AND($E40=$K40,$F40=$L40),10,IF(($E40-$F40)=($K40-$L40),6,IF(MAX($E40,$F40)=MAX($K40,$L40),5,IF(MIN($E40,$F40)=MIN($K40,$L40),4,3)))))))</f>
        <v/>
      </c>
      <c r="N40" s="23" t="str">
        <f t="shared" ref="N40:N45" si="16">IF(OR($K40="",$L40="",$G40="",$H40=""),"",IF(AND($G40=$K40,$H40=$L40),5+IF(($K40+$L40)&gt;=6,2,IF(($K40+$L40)=5,1,0)),IF(AND($G40=$H40,$K40=$L40),3,IF(AND($G40&lt;&gt;$H40,$K40&lt;&gt;$L40,SIGN($G40-$H40)=SIGN($K40-$L40)),2,0))))</f>
        <v/>
      </c>
      <c r="O40" s="23" t="str">
        <f t="shared" ref="O40:O45" si="17">IF(OR($K40="",$L40="",$I40="",$J40=""),"",IF(AND($I40=$K40,$J40=$L40),3,IF(SIGN($I40-$J40)=SIGN($K40-$L40),1,0)))</f>
        <v/>
      </c>
      <c r="P40" s="4"/>
    </row>
    <row r="41" spans="1:16" x14ac:dyDescent="0.25">
      <c r="A41" s="5" t="s">
        <v>46</v>
      </c>
      <c r="B41" s="5">
        <v>32</v>
      </c>
      <c r="C41" s="6" t="s">
        <v>49</v>
      </c>
      <c r="D41" s="15" t="s">
        <v>50</v>
      </c>
      <c r="E41" s="11">
        <v>1</v>
      </c>
      <c r="F41" s="12">
        <v>2</v>
      </c>
      <c r="G41" s="11">
        <v>1</v>
      </c>
      <c r="H41" s="12">
        <v>2</v>
      </c>
      <c r="I41" s="19">
        <v>1</v>
      </c>
      <c r="J41" s="21">
        <v>1</v>
      </c>
      <c r="K41" s="17"/>
      <c r="L41" s="15"/>
      <c r="M41" s="24" t="str">
        <f t="shared" si="15"/>
        <v/>
      </c>
      <c r="N41" s="25" t="str">
        <f t="shared" si="16"/>
        <v/>
      </c>
      <c r="O41" s="25" t="str">
        <f t="shared" si="17"/>
        <v/>
      </c>
      <c r="P41" s="7"/>
    </row>
    <row r="42" spans="1:16" x14ac:dyDescent="0.25">
      <c r="A42" s="2" t="s">
        <v>46</v>
      </c>
      <c r="B42" s="2">
        <v>33</v>
      </c>
      <c r="C42" s="3" t="s">
        <v>47</v>
      </c>
      <c r="D42" s="14" t="s">
        <v>49</v>
      </c>
      <c r="E42" s="10">
        <v>2</v>
      </c>
      <c r="F42" s="13">
        <v>0</v>
      </c>
      <c r="G42" s="10">
        <v>2</v>
      </c>
      <c r="H42" s="13">
        <v>0</v>
      </c>
      <c r="I42" s="18">
        <v>2</v>
      </c>
      <c r="J42" s="20">
        <v>1</v>
      </c>
      <c r="K42" s="16"/>
      <c r="L42" s="14"/>
      <c r="M42" s="22" t="str">
        <f t="shared" si="15"/>
        <v/>
      </c>
      <c r="N42" s="23" t="str">
        <f t="shared" si="16"/>
        <v/>
      </c>
      <c r="O42" s="23" t="str">
        <f t="shared" si="17"/>
        <v/>
      </c>
      <c r="P42" s="4"/>
    </row>
    <row r="43" spans="1:16" x14ac:dyDescent="0.25">
      <c r="A43" s="5" t="s">
        <v>46</v>
      </c>
      <c r="B43" s="5">
        <v>34</v>
      </c>
      <c r="C43" s="6" t="s">
        <v>50</v>
      </c>
      <c r="D43" s="15" t="s">
        <v>48</v>
      </c>
      <c r="E43" s="11">
        <v>2</v>
      </c>
      <c r="F43" s="12">
        <v>0</v>
      </c>
      <c r="G43" s="11">
        <v>2</v>
      </c>
      <c r="H43" s="12">
        <v>0</v>
      </c>
      <c r="I43" s="19">
        <v>0</v>
      </c>
      <c r="J43" s="21">
        <v>1</v>
      </c>
      <c r="K43" s="17"/>
      <c r="L43" s="15"/>
      <c r="M43" s="24" t="str">
        <f t="shared" si="15"/>
        <v/>
      </c>
      <c r="N43" s="25" t="str">
        <f t="shared" si="16"/>
        <v/>
      </c>
      <c r="O43" s="25" t="str">
        <f t="shared" si="17"/>
        <v/>
      </c>
      <c r="P43" s="7"/>
    </row>
    <row r="44" spans="1:16" x14ac:dyDescent="0.25">
      <c r="A44" s="2" t="s">
        <v>46</v>
      </c>
      <c r="B44" s="2">
        <v>35</v>
      </c>
      <c r="C44" s="3" t="s">
        <v>48</v>
      </c>
      <c r="D44" s="14" t="s">
        <v>49</v>
      </c>
      <c r="E44" s="10">
        <v>2</v>
      </c>
      <c r="F44" s="13">
        <v>0</v>
      </c>
      <c r="G44" s="10">
        <v>2</v>
      </c>
      <c r="H44" s="13">
        <v>0</v>
      </c>
      <c r="I44" s="18">
        <v>2</v>
      </c>
      <c r="J44" s="20">
        <v>0</v>
      </c>
      <c r="K44" s="16"/>
      <c r="L44" s="14"/>
      <c r="M44" s="22" t="str">
        <f t="shared" si="15"/>
        <v/>
      </c>
      <c r="N44" s="23" t="str">
        <f t="shared" si="16"/>
        <v/>
      </c>
      <c r="O44" s="23" t="str">
        <f t="shared" si="17"/>
        <v/>
      </c>
      <c r="P44" s="4"/>
    </row>
    <row r="45" spans="1:16" x14ac:dyDescent="0.25">
      <c r="A45" s="5" t="s">
        <v>46</v>
      </c>
      <c r="B45" s="5">
        <v>36</v>
      </c>
      <c r="C45" s="6" t="s">
        <v>50</v>
      </c>
      <c r="D45" s="15" t="s">
        <v>47</v>
      </c>
      <c r="E45" s="11">
        <v>0</v>
      </c>
      <c r="F45" s="12">
        <v>2</v>
      </c>
      <c r="G45" s="11">
        <v>0</v>
      </c>
      <c r="H45" s="12">
        <v>2</v>
      </c>
      <c r="I45" s="19">
        <v>0</v>
      </c>
      <c r="J45" s="21">
        <v>1</v>
      </c>
      <c r="K45" s="17"/>
      <c r="L45" s="15"/>
      <c r="M45" s="24" t="str">
        <f t="shared" si="15"/>
        <v/>
      </c>
      <c r="N45" s="25" t="str">
        <f t="shared" si="16"/>
        <v/>
      </c>
      <c r="O45" s="25" t="str">
        <f t="shared" si="17"/>
        <v/>
      </c>
      <c r="P45" s="7"/>
    </row>
    <row r="46" spans="1:16" ht="18" customHeight="1" x14ac:dyDescent="0.25">
      <c r="A46" s="30" t="s">
        <v>51</v>
      </c>
      <c r="B46" s="31"/>
      <c r="C46" s="31"/>
      <c r="D46" s="31"/>
      <c r="E46" s="31"/>
      <c r="F46" s="31"/>
      <c r="G46" s="31"/>
      <c r="H46" s="31"/>
      <c r="I46" s="31"/>
      <c r="J46" s="31"/>
      <c r="K46" s="31"/>
      <c r="L46" s="31"/>
      <c r="M46" s="31"/>
      <c r="N46" s="31"/>
      <c r="O46" s="31"/>
      <c r="P46" s="31"/>
    </row>
    <row r="47" spans="1:16" x14ac:dyDescent="0.25">
      <c r="A47" s="2" t="s">
        <v>52</v>
      </c>
      <c r="B47" s="2">
        <v>37</v>
      </c>
      <c r="C47" s="3" t="s">
        <v>53</v>
      </c>
      <c r="D47" s="14" t="s">
        <v>54</v>
      </c>
      <c r="E47" s="10">
        <v>2</v>
      </c>
      <c r="F47" s="13">
        <v>0</v>
      </c>
      <c r="G47" s="10">
        <v>2</v>
      </c>
      <c r="H47" s="13">
        <v>0</v>
      </c>
      <c r="I47" s="18">
        <v>1</v>
      </c>
      <c r="J47" s="20">
        <v>0</v>
      </c>
      <c r="K47" s="16"/>
      <c r="L47" s="14"/>
      <c r="M47" s="22" t="str">
        <f t="shared" ref="M47:M52" si="18">IF(OR($K47="",$L47="",$E47="",$F47=""),"",IF($E47=$F47,IF($K47=$L47,IF($E47=$K47,10,6),0),IF(OR($K47=$L47,SIGN($E47-$F47)&lt;&gt;SIGN($K47-$L47)),0,IF(AND($E47=$K47,$F47=$L47),10,IF(($E47-$F47)=($K47-$L47),6,IF(MAX($E47,$F47)=MAX($K47,$L47),5,IF(MIN($E47,$F47)=MIN($K47,$L47),4,3)))))))</f>
        <v/>
      </c>
      <c r="N47" s="23" t="str">
        <f t="shared" ref="N47:N52" si="19">IF(OR($K47="",$L47="",$G47="",$H47=""),"",IF(AND($G47=$K47,$H47=$L47),5+IF(($K47+$L47)&gt;=6,2,IF(($K47+$L47)=5,1,0)),IF(AND($G47=$H47,$K47=$L47),3,IF(AND($G47&lt;&gt;$H47,$K47&lt;&gt;$L47,SIGN($G47-$H47)=SIGN($K47-$L47)),2,0))))</f>
        <v/>
      </c>
      <c r="O47" s="23" t="str">
        <f t="shared" ref="O47:O52" si="20">IF(OR($K47="",$L47="",$I47="",$J47=""),"",IF(AND($I47=$K47,$J47=$L47),3,IF(SIGN($I47-$J47)=SIGN($K47-$L47),1,0)))</f>
        <v/>
      </c>
      <c r="P47" s="4"/>
    </row>
    <row r="48" spans="1:16" x14ac:dyDescent="0.25">
      <c r="A48" s="5" t="s">
        <v>52</v>
      </c>
      <c r="B48" s="5">
        <v>38</v>
      </c>
      <c r="C48" s="6" t="s">
        <v>55</v>
      </c>
      <c r="D48" s="15" t="s">
        <v>56</v>
      </c>
      <c r="E48" s="11">
        <v>2</v>
      </c>
      <c r="F48" s="12">
        <v>0</v>
      </c>
      <c r="G48" s="11">
        <v>2</v>
      </c>
      <c r="H48" s="12">
        <v>0</v>
      </c>
      <c r="I48" s="19">
        <v>1</v>
      </c>
      <c r="J48" s="21">
        <v>0</v>
      </c>
      <c r="K48" s="17"/>
      <c r="L48" s="15"/>
      <c r="M48" s="24" t="str">
        <f t="shared" si="18"/>
        <v/>
      </c>
      <c r="N48" s="25" t="str">
        <f t="shared" si="19"/>
        <v/>
      </c>
      <c r="O48" s="25" t="str">
        <f t="shared" si="20"/>
        <v/>
      </c>
      <c r="P48" s="7"/>
    </row>
    <row r="49" spans="1:16" x14ac:dyDescent="0.25">
      <c r="A49" s="2" t="s">
        <v>52</v>
      </c>
      <c r="B49" s="2">
        <v>39</v>
      </c>
      <c r="C49" s="3" t="s">
        <v>55</v>
      </c>
      <c r="D49" s="14" t="s">
        <v>53</v>
      </c>
      <c r="E49" s="10">
        <v>2</v>
      </c>
      <c r="F49" s="13">
        <v>0</v>
      </c>
      <c r="G49" s="10">
        <v>2</v>
      </c>
      <c r="H49" s="13">
        <v>0</v>
      </c>
      <c r="I49" s="18">
        <v>1</v>
      </c>
      <c r="J49" s="20">
        <v>0</v>
      </c>
      <c r="K49" s="16"/>
      <c r="L49" s="14"/>
      <c r="M49" s="22" t="str">
        <f t="shared" si="18"/>
        <v/>
      </c>
      <c r="N49" s="23" t="str">
        <f t="shared" si="19"/>
        <v/>
      </c>
      <c r="O49" s="23" t="str">
        <f t="shared" si="20"/>
        <v/>
      </c>
      <c r="P49" s="4"/>
    </row>
    <row r="50" spans="1:16" x14ac:dyDescent="0.25">
      <c r="A50" s="5" t="s">
        <v>52</v>
      </c>
      <c r="B50" s="5">
        <v>40</v>
      </c>
      <c r="C50" s="6" t="s">
        <v>54</v>
      </c>
      <c r="D50" s="15" t="s">
        <v>56</v>
      </c>
      <c r="E50" s="11">
        <v>0</v>
      </c>
      <c r="F50" s="12">
        <v>2</v>
      </c>
      <c r="G50" s="11">
        <v>0</v>
      </c>
      <c r="H50" s="12">
        <v>2</v>
      </c>
      <c r="I50" s="19">
        <v>0</v>
      </c>
      <c r="J50" s="21">
        <v>1</v>
      </c>
      <c r="K50" s="17"/>
      <c r="L50" s="15"/>
      <c r="M50" s="24" t="str">
        <f t="shared" si="18"/>
        <v/>
      </c>
      <c r="N50" s="25" t="str">
        <f t="shared" si="19"/>
        <v/>
      </c>
      <c r="O50" s="25" t="str">
        <f t="shared" si="20"/>
        <v/>
      </c>
      <c r="P50" s="7"/>
    </row>
    <row r="51" spans="1:16" x14ac:dyDescent="0.25">
      <c r="A51" s="2" t="s">
        <v>52</v>
      </c>
      <c r="B51" s="2">
        <v>41</v>
      </c>
      <c r="C51" s="3" t="s">
        <v>56</v>
      </c>
      <c r="D51" s="14" t="s">
        <v>53</v>
      </c>
      <c r="E51" s="10">
        <v>1</v>
      </c>
      <c r="F51" s="13">
        <v>2</v>
      </c>
      <c r="G51" s="10">
        <v>1</v>
      </c>
      <c r="H51" s="13">
        <v>2</v>
      </c>
      <c r="I51" s="18">
        <v>0</v>
      </c>
      <c r="J51" s="20">
        <v>1</v>
      </c>
      <c r="K51" s="16"/>
      <c r="L51" s="14"/>
      <c r="M51" s="22" t="str">
        <f t="shared" si="18"/>
        <v/>
      </c>
      <c r="N51" s="23" t="str">
        <f t="shared" si="19"/>
        <v/>
      </c>
      <c r="O51" s="23" t="str">
        <f t="shared" si="20"/>
        <v/>
      </c>
      <c r="P51" s="4"/>
    </row>
    <row r="52" spans="1:16" x14ac:dyDescent="0.25">
      <c r="A52" s="5" t="s">
        <v>52</v>
      </c>
      <c r="B52" s="5">
        <v>42</v>
      </c>
      <c r="C52" s="6" t="s">
        <v>54</v>
      </c>
      <c r="D52" s="15" t="s">
        <v>55</v>
      </c>
      <c r="E52" s="11">
        <v>0</v>
      </c>
      <c r="F52" s="12">
        <v>2</v>
      </c>
      <c r="G52" s="11">
        <v>1</v>
      </c>
      <c r="H52" s="12">
        <v>4</v>
      </c>
      <c r="I52" s="19">
        <v>0</v>
      </c>
      <c r="J52" s="21">
        <v>1</v>
      </c>
      <c r="K52" s="17"/>
      <c r="L52" s="15"/>
      <c r="M52" s="24" t="str">
        <f t="shared" si="18"/>
        <v/>
      </c>
      <c r="N52" s="25" t="str">
        <f t="shared" si="19"/>
        <v/>
      </c>
      <c r="O52" s="25" t="str">
        <f t="shared" si="20"/>
        <v/>
      </c>
      <c r="P52" s="7"/>
    </row>
    <row r="53" spans="1:16" ht="18" customHeight="1" x14ac:dyDescent="0.25">
      <c r="A53" s="30" t="s">
        <v>57</v>
      </c>
      <c r="B53" s="31"/>
      <c r="C53" s="31"/>
      <c r="D53" s="31"/>
      <c r="E53" s="31"/>
      <c r="F53" s="31"/>
      <c r="G53" s="31"/>
      <c r="H53" s="31"/>
      <c r="I53" s="31"/>
      <c r="J53" s="31"/>
      <c r="K53" s="31"/>
      <c r="L53" s="31"/>
      <c r="M53" s="31"/>
      <c r="N53" s="31"/>
      <c r="O53" s="31"/>
      <c r="P53" s="31"/>
    </row>
    <row r="54" spans="1:16" x14ac:dyDescent="0.25">
      <c r="A54" s="2" t="s">
        <v>58</v>
      </c>
      <c r="B54" s="2">
        <v>43</v>
      </c>
      <c r="C54" s="3" t="s">
        <v>59</v>
      </c>
      <c r="D54" s="14" t="s">
        <v>60</v>
      </c>
      <c r="E54" s="10">
        <v>0</v>
      </c>
      <c r="F54" s="13">
        <v>2</v>
      </c>
      <c r="G54" s="10">
        <v>0</v>
      </c>
      <c r="H54" s="13">
        <v>2</v>
      </c>
      <c r="I54" s="18">
        <v>0</v>
      </c>
      <c r="J54" s="20">
        <v>1</v>
      </c>
      <c r="K54" s="16"/>
      <c r="L54" s="14"/>
      <c r="M54" s="22" t="str">
        <f t="shared" ref="M54:M59" si="21">IF(OR($K54="",$L54="",$E54="",$F54=""),"",IF($E54=$F54,IF($K54=$L54,IF($E54=$K54,10,6),0),IF(OR($K54=$L54,SIGN($E54-$F54)&lt;&gt;SIGN($K54-$L54)),0,IF(AND($E54=$K54,$F54=$L54),10,IF(($E54-$F54)=($K54-$L54),6,IF(MAX($E54,$F54)=MAX($K54,$L54),5,IF(MIN($E54,$F54)=MIN($K54,$L54),4,3)))))))</f>
        <v/>
      </c>
      <c r="N54" s="23" t="str">
        <f t="shared" ref="N54:N59" si="22">IF(OR($K54="",$L54="",$G54="",$H54=""),"",IF(AND($G54=$K54,$H54=$L54),5+IF(($K54+$L54)&gt;=6,2,IF(($K54+$L54)=5,1,0)),IF(AND($G54=$H54,$K54=$L54),3,IF(AND($G54&lt;&gt;$H54,$K54&lt;&gt;$L54,SIGN($G54-$H54)=SIGN($K54-$L54)),2,0))))</f>
        <v/>
      </c>
      <c r="O54" s="23" t="str">
        <f t="shared" ref="O54:O59" si="23">IF(OR($K54="",$L54="",$I54="",$J54=""),"",IF(AND($I54=$K54,$J54=$L54),3,IF(SIGN($I54-$J54)=SIGN($K54-$L54),1,0)))</f>
        <v/>
      </c>
      <c r="P54" s="4"/>
    </row>
    <row r="55" spans="1:16" x14ac:dyDescent="0.25">
      <c r="A55" s="5" t="s">
        <v>58</v>
      </c>
      <c r="B55" s="5">
        <v>44</v>
      </c>
      <c r="C55" s="6" t="s">
        <v>61</v>
      </c>
      <c r="D55" s="15" t="s">
        <v>62</v>
      </c>
      <c r="E55" s="11">
        <v>2</v>
      </c>
      <c r="F55" s="12">
        <v>0</v>
      </c>
      <c r="G55" s="11">
        <v>4</v>
      </c>
      <c r="H55" s="12">
        <v>1</v>
      </c>
      <c r="I55" s="19">
        <v>3</v>
      </c>
      <c r="J55" s="21">
        <v>0</v>
      </c>
      <c r="K55" s="17"/>
      <c r="L55" s="15"/>
      <c r="M55" s="24" t="str">
        <f t="shared" si="21"/>
        <v/>
      </c>
      <c r="N55" s="25" t="str">
        <f t="shared" si="22"/>
        <v/>
      </c>
      <c r="O55" s="25" t="str">
        <f t="shared" si="23"/>
        <v/>
      </c>
      <c r="P55" s="7"/>
    </row>
    <row r="56" spans="1:16" x14ac:dyDescent="0.25">
      <c r="A56" s="2" t="s">
        <v>58</v>
      </c>
      <c r="B56" s="2">
        <v>45</v>
      </c>
      <c r="C56" s="3" t="s">
        <v>60</v>
      </c>
      <c r="D56" s="14" t="s">
        <v>62</v>
      </c>
      <c r="E56" s="10">
        <v>2</v>
      </c>
      <c r="F56" s="13">
        <v>0</v>
      </c>
      <c r="G56" s="10">
        <v>4</v>
      </c>
      <c r="H56" s="13">
        <v>1</v>
      </c>
      <c r="I56" s="18">
        <v>1</v>
      </c>
      <c r="J56" s="20">
        <v>0</v>
      </c>
      <c r="K56" s="16"/>
      <c r="L56" s="14"/>
      <c r="M56" s="22" t="str">
        <f t="shared" si="21"/>
        <v/>
      </c>
      <c r="N56" s="23" t="str">
        <f t="shared" si="22"/>
        <v/>
      </c>
      <c r="O56" s="23" t="str">
        <f t="shared" si="23"/>
        <v/>
      </c>
      <c r="P56" s="4"/>
    </row>
    <row r="57" spans="1:16" x14ac:dyDescent="0.25">
      <c r="A57" s="5" t="s">
        <v>58</v>
      </c>
      <c r="B57" s="5">
        <v>46</v>
      </c>
      <c r="C57" s="6" t="s">
        <v>61</v>
      </c>
      <c r="D57" s="15" t="s">
        <v>59</v>
      </c>
      <c r="E57" s="11">
        <v>2</v>
      </c>
      <c r="F57" s="12">
        <v>0</v>
      </c>
      <c r="G57" s="11">
        <v>4</v>
      </c>
      <c r="H57" s="12">
        <v>1</v>
      </c>
      <c r="I57" s="19">
        <v>2</v>
      </c>
      <c r="J57" s="21">
        <v>0</v>
      </c>
      <c r="K57" s="17"/>
      <c r="L57" s="15"/>
      <c r="M57" s="24" t="str">
        <f t="shared" si="21"/>
        <v/>
      </c>
      <c r="N57" s="25" t="str">
        <f t="shared" si="22"/>
        <v/>
      </c>
      <c r="O57" s="25" t="str">
        <f t="shared" si="23"/>
        <v/>
      </c>
      <c r="P57" s="7"/>
    </row>
    <row r="58" spans="1:16" x14ac:dyDescent="0.25">
      <c r="A58" s="2" t="s">
        <v>58</v>
      </c>
      <c r="B58" s="2">
        <v>47</v>
      </c>
      <c r="C58" s="3" t="s">
        <v>62</v>
      </c>
      <c r="D58" s="14" t="s">
        <v>59</v>
      </c>
      <c r="E58" s="10">
        <v>1</v>
      </c>
      <c r="F58" s="13">
        <v>1</v>
      </c>
      <c r="G58" s="10">
        <v>1</v>
      </c>
      <c r="H58" s="13">
        <v>1</v>
      </c>
      <c r="I58" s="18">
        <v>0</v>
      </c>
      <c r="J58" s="20">
        <v>0</v>
      </c>
      <c r="K58" s="16"/>
      <c r="L58" s="14"/>
      <c r="M58" s="22" t="str">
        <f t="shared" si="21"/>
        <v/>
      </c>
      <c r="N58" s="23" t="str">
        <f t="shared" si="22"/>
        <v/>
      </c>
      <c r="O58" s="23" t="str">
        <f t="shared" si="23"/>
        <v/>
      </c>
      <c r="P58" s="4"/>
    </row>
    <row r="59" spans="1:16" x14ac:dyDescent="0.25">
      <c r="A59" s="5" t="s">
        <v>58</v>
      </c>
      <c r="B59" s="5">
        <v>48</v>
      </c>
      <c r="C59" s="6" t="s">
        <v>60</v>
      </c>
      <c r="D59" s="15" t="s">
        <v>61</v>
      </c>
      <c r="E59" s="11">
        <v>0</v>
      </c>
      <c r="F59" s="12">
        <v>2</v>
      </c>
      <c r="G59" s="11">
        <v>0</v>
      </c>
      <c r="H59" s="12">
        <v>2</v>
      </c>
      <c r="I59" s="19">
        <v>0</v>
      </c>
      <c r="J59" s="21">
        <v>1</v>
      </c>
      <c r="K59" s="17"/>
      <c r="L59" s="15"/>
      <c r="M59" s="24" t="str">
        <f t="shared" si="21"/>
        <v/>
      </c>
      <c r="N59" s="25" t="str">
        <f t="shared" si="22"/>
        <v/>
      </c>
      <c r="O59" s="25" t="str">
        <f t="shared" si="23"/>
        <v/>
      </c>
      <c r="P59" s="7"/>
    </row>
    <row r="60" spans="1:16" ht="18" customHeight="1" x14ac:dyDescent="0.25">
      <c r="A60" s="30" t="s">
        <v>63</v>
      </c>
      <c r="B60" s="31"/>
      <c r="C60" s="31"/>
      <c r="D60" s="31"/>
      <c r="E60" s="31"/>
      <c r="F60" s="31"/>
      <c r="G60" s="31"/>
      <c r="H60" s="31"/>
      <c r="I60" s="31"/>
      <c r="J60" s="31"/>
      <c r="K60" s="31"/>
      <c r="L60" s="31"/>
      <c r="M60" s="31"/>
      <c r="N60" s="31"/>
      <c r="O60" s="31"/>
      <c r="P60" s="31"/>
    </row>
    <row r="61" spans="1:16" x14ac:dyDescent="0.25">
      <c r="A61" s="2" t="s">
        <v>64</v>
      </c>
      <c r="B61" s="2">
        <v>49</v>
      </c>
      <c r="C61" s="3" t="s">
        <v>65</v>
      </c>
      <c r="D61" s="14" t="s">
        <v>66</v>
      </c>
      <c r="E61" s="10">
        <v>2</v>
      </c>
      <c r="F61" s="13">
        <v>0</v>
      </c>
      <c r="G61" s="10">
        <v>2</v>
      </c>
      <c r="H61" s="13">
        <v>0</v>
      </c>
      <c r="I61" s="18">
        <v>1</v>
      </c>
      <c r="J61" s="20">
        <v>0</v>
      </c>
      <c r="K61" s="16"/>
      <c r="L61" s="14"/>
      <c r="M61" s="22" t="str">
        <f t="shared" ref="M61:M66" si="24">IF(OR($K61="",$L61="",$E61="",$F61=""),"",IF($E61=$F61,IF($K61=$L61,IF($E61=$K61,10,6),0),IF(OR($K61=$L61,SIGN($E61-$F61)&lt;&gt;SIGN($K61-$L61)),0,IF(AND($E61=$K61,$F61=$L61),10,IF(($E61-$F61)=($K61-$L61),6,IF(MAX($E61,$F61)=MAX($K61,$L61),5,IF(MIN($E61,$F61)=MIN($K61,$L61),4,3)))))))</f>
        <v/>
      </c>
      <c r="N61" s="23" t="str">
        <f t="shared" ref="N61:N66" si="25">IF(OR($K61="",$L61="",$G61="",$H61=""),"",IF(AND($G61=$K61,$H61=$L61),5+IF(($K61+$L61)&gt;=6,2,IF(($K61+$L61)=5,1,0)),IF(AND($G61=$H61,$K61=$L61),3,IF(AND($G61&lt;&gt;$H61,$K61&lt;&gt;$L61,SIGN($G61-$H61)=SIGN($K61-$L61)),2,0))))</f>
        <v/>
      </c>
      <c r="O61" s="23" t="str">
        <f t="shared" ref="O61:O66" si="26">IF(OR($K61="",$L61="",$I61="",$J61=""),"",IF(AND($I61=$K61,$J61=$L61),3,IF(SIGN($I61-$J61)=SIGN($K61-$L61),1,0)))</f>
        <v/>
      </c>
      <c r="P61" s="4"/>
    </row>
    <row r="62" spans="1:16" x14ac:dyDescent="0.25">
      <c r="A62" s="5" t="s">
        <v>64</v>
      </c>
      <c r="B62" s="5">
        <v>50</v>
      </c>
      <c r="C62" s="6" t="s">
        <v>67</v>
      </c>
      <c r="D62" s="15" t="s">
        <v>68</v>
      </c>
      <c r="E62" s="11">
        <v>0</v>
      </c>
      <c r="F62" s="12">
        <v>2</v>
      </c>
      <c r="G62" s="11">
        <v>0</v>
      </c>
      <c r="H62" s="12">
        <v>2</v>
      </c>
      <c r="I62" s="19">
        <v>0</v>
      </c>
      <c r="J62" s="21">
        <v>1</v>
      </c>
      <c r="K62" s="17"/>
      <c r="L62" s="15"/>
      <c r="M62" s="24" t="str">
        <f t="shared" si="24"/>
        <v/>
      </c>
      <c r="N62" s="25" t="str">
        <f t="shared" si="25"/>
        <v/>
      </c>
      <c r="O62" s="25" t="str">
        <f t="shared" si="26"/>
        <v/>
      </c>
      <c r="P62" s="7"/>
    </row>
    <row r="63" spans="1:16" x14ac:dyDescent="0.25">
      <c r="A63" s="2" t="s">
        <v>64</v>
      </c>
      <c r="B63" s="2">
        <v>51</v>
      </c>
      <c r="C63" s="3" t="s">
        <v>68</v>
      </c>
      <c r="D63" s="14" t="s">
        <v>66</v>
      </c>
      <c r="E63" s="10">
        <v>2</v>
      </c>
      <c r="F63" s="13">
        <v>1</v>
      </c>
      <c r="G63" s="10">
        <v>2</v>
      </c>
      <c r="H63" s="13">
        <v>1</v>
      </c>
      <c r="I63" s="18">
        <v>1</v>
      </c>
      <c r="J63" s="20">
        <v>1</v>
      </c>
      <c r="K63" s="16"/>
      <c r="L63" s="14"/>
      <c r="M63" s="22" t="str">
        <f t="shared" si="24"/>
        <v/>
      </c>
      <c r="N63" s="23" t="str">
        <f t="shared" si="25"/>
        <v/>
      </c>
      <c r="O63" s="23" t="str">
        <f t="shared" si="26"/>
        <v/>
      </c>
      <c r="P63" s="4"/>
    </row>
    <row r="64" spans="1:16" x14ac:dyDescent="0.25">
      <c r="A64" s="5" t="s">
        <v>64</v>
      </c>
      <c r="B64" s="5">
        <v>52</v>
      </c>
      <c r="C64" s="6" t="s">
        <v>65</v>
      </c>
      <c r="D64" s="15" t="s">
        <v>67</v>
      </c>
      <c r="E64" s="11">
        <v>2</v>
      </c>
      <c r="F64" s="12">
        <v>0</v>
      </c>
      <c r="G64" s="11">
        <v>4</v>
      </c>
      <c r="H64" s="12">
        <v>1</v>
      </c>
      <c r="I64" s="19">
        <v>2</v>
      </c>
      <c r="J64" s="21">
        <v>0</v>
      </c>
      <c r="K64" s="17"/>
      <c r="L64" s="15"/>
      <c r="M64" s="24" t="str">
        <f t="shared" si="24"/>
        <v/>
      </c>
      <c r="N64" s="25" t="str">
        <f t="shared" si="25"/>
        <v/>
      </c>
      <c r="O64" s="25" t="str">
        <f t="shared" si="26"/>
        <v/>
      </c>
      <c r="P64" s="7"/>
    </row>
    <row r="65" spans="1:16" x14ac:dyDescent="0.25">
      <c r="A65" s="2" t="s">
        <v>64</v>
      </c>
      <c r="B65" s="2">
        <v>53</v>
      </c>
      <c r="C65" s="3" t="s">
        <v>68</v>
      </c>
      <c r="D65" s="14" t="s">
        <v>65</v>
      </c>
      <c r="E65" s="10">
        <v>0</v>
      </c>
      <c r="F65" s="13">
        <v>2</v>
      </c>
      <c r="G65" s="10">
        <v>0</v>
      </c>
      <c r="H65" s="13">
        <v>2</v>
      </c>
      <c r="I65" s="18">
        <v>0</v>
      </c>
      <c r="J65" s="20">
        <v>2</v>
      </c>
      <c r="K65" s="16"/>
      <c r="L65" s="14"/>
      <c r="M65" s="22" t="str">
        <f t="shared" si="24"/>
        <v/>
      </c>
      <c r="N65" s="23" t="str">
        <f t="shared" si="25"/>
        <v/>
      </c>
      <c r="O65" s="23" t="str">
        <f t="shared" si="26"/>
        <v/>
      </c>
      <c r="P65" s="4"/>
    </row>
    <row r="66" spans="1:16" x14ac:dyDescent="0.25">
      <c r="A66" s="5" t="s">
        <v>64</v>
      </c>
      <c r="B66" s="5">
        <v>54</v>
      </c>
      <c r="C66" s="6" t="s">
        <v>66</v>
      </c>
      <c r="D66" s="15" t="s">
        <v>67</v>
      </c>
      <c r="E66" s="11">
        <v>2</v>
      </c>
      <c r="F66" s="12">
        <v>0</v>
      </c>
      <c r="G66" s="11">
        <v>2</v>
      </c>
      <c r="H66" s="12">
        <v>0</v>
      </c>
      <c r="I66" s="19">
        <v>1</v>
      </c>
      <c r="J66" s="21">
        <v>0</v>
      </c>
      <c r="K66" s="17"/>
      <c r="L66" s="15"/>
      <c r="M66" s="24" t="str">
        <f t="shared" si="24"/>
        <v/>
      </c>
      <c r="N66" s="25" t="str">
        <f t="shared" si="25"/>
        <v/>
      </c>
      <c r="O66" s="25" t="str">
        <f t="shared" si="26"/>
        <v/>
      </c>
      <c r="P66" s="7"/>
    </row>
    <row r="67" spans="1:16" ht="18" customHeight="1" x14ac:dyDescent="0.25">
      <c r="A67" s="30" t="s">
        <v>69</v>
      </c>
      <c r="B67" s="31"/>
      <c r="C67" s="31"/>
      <c r="D67" s="31"/>
      <c r="E67" s="31"/>
      <c r="F67" s="31"/>
      <c r="G67" s="31"/>
      <c r="H67" s="31"/>
      <c r="I67" s="31"/>
      <c r="J67" s="31"/>
      <c r="K67" s="31"/>
      <c r="L67" s="31"/>
      <c r="M67" s="31"/>
      <c r="N67" s="31"/>
      <c r="O67" s="31"/>
      <c r="P67" s="31"/>
    </row>
    <row r="68" spans="1:16" x14ac:dyDescent="0.25">
      <c r="A68" s="2" t="s">
        <v>70</v>
      </c>
      <c r="B68" s="2">
        <v>55</v>
      </c>
      <c r="C68" s="3" t="s">
        <v>71</v>
      </c>
      <c r="D68" s="14" t="s">
        <v>72</v>
      </c>
      <c r="E68" s="10">
        <v>2</v>
      </c>
      <c r="F68" s="13">
        <v>0</v>
      </c>
      <c r="G68" s="10">
        <v>2</v>
      </c>
      <c r="H68" s="13">
        <v>0</v>
      </c>
      <c r="I68" s="18">
        <v>1</v>
      </c>
      <c r="J68" s="20">
        <v>0</v>
      </c>
      <c r="K68" s="16"/>
      <c r="L68" s="14"/>
      <c r="M68" s="22" t="str">
        <f t="shared" ref="M68:M73" si="27">IF(OR($K68="",$L68="",$E68="",$F68=""),"",IF($E68=$F68,IF($K68=$L68,IF($E68=$K68,10,6),0),IF(OR($K68=$L68,SIGN($E68-$F68)&lt;&gt;SIGN($K68-$L68)),0,IF(AND($E68=$K68,$F68=$L68),10,IF(($E68-$F68)=($K68-$L68),6,IF(MAX($E68,$F68)=MAX($K68,$L68),5,IF(MIN($E68,$F68)=MIN($K68,$L68),4,3)))))))</f>
        <v/>
      </c>
      <c r="N68" s="23" t="str">
        <f t="shared" ref="N68:N73" si="28">IF(OR($K68="",$L68="",$G68="",$H68=""),"",IF(AND($G68=$K68,$H68=$L68),5+IF(($K68+$L68)&gt;=6,2,IF(($K68+$L68)=5,1,0)),IF(AND($G68=$H68,$K68=$L68),3,IF(AND($G68&lt;&gt;$H68,$K68&lt;&gt;$L68,SIGN($G68-$H68)=SIGN($K68-$L68)),2,0))))</f>
        <v/>
      </c>
      <c r="O68" s="23" t="str">
        <f t="shared" ref="O68:O73" si="29">IF(OR($K68="",$L68="",$I68="",$J68=""),"",IF(AND($I68=$K68,$J68=$L68),3,IF(SIGN($I68-$J68)=SIGN($K68-$L68),1,0)))</f>
        <v/>
      </c>
      <c r="P68" s="4"/>
    </row>
    <row r="69" spans="1:16" x14ac:dyDescent="0.25">
      <c r="A69" s="5" t="s">
        <v>70</v>
      </c>
      <c r="B69" s="5">
        <v>56</v>
      </c>
      <c r="C69" s="6" t="s">
        <v>73</v>
      </c>
      <c r="D69" s="15" t="s">
        <v>74</v>
      </c>
      <c r="E69" s="11">
        <v>2</v>
      </c>
      <c r="F69" s="12">
        <v>0</v>
      </c>
      <c r="G69" s="11">
        <v>2</v>
      </c>
      <c r="H69" s="12">
        <v>0</v>
      </c>
      <c r="I69" s="19">
        <v>2</v>
      </c>
      <c r="J69" s="21">
        <v>0</v>
      </c>
      <c r="K69" s="17"/>
      <c r="L69" s="15"/>
      <c r="M69" s="24" t="str">
        <f t="shared" si="27"/>
        <v/>
      </c>
      <c r="N69" s="25" t="str">
        <f t="shared" si="28"/>
        <v/>
      </c>
      <c r="O69" s="25" t="str">
        <f t="shared" si="29"/>
        <v/>
      </c>
      <c r="P69" s="7"/>
    </row>
    <row r="70" spans="1:16" x14ac:dyDescent="0.25">
      <c r="A70" s="2" t="s">
        <v>70</v>
      </c>
      <c r="B70" s="2">
        <v>57</v>
      </c>
      <c r="C70" s="3" t="s">
        <v>71</v>
      </c>
      <c r="D70" s="14" t="s">
        <v>73</v>
      </c>
      <c r="E70" s="10">
        <v>2</v>
      </c>
      <c r="F70" s="13">
        <v>0</v>
      </c>
      <c r="G70" s="10">
        <v>2</v>
      </c>
      <c r="H70" s="13">
        <v>0</v>
      </c>
      <c r="I70" s="18">
        <v>1</v>
      </c>
      <c r="J70" s="20">
        <v>0</v>
      </c>
      <c r="K70" s="16"/>
      <c r="L70" s="14"/>
      <c r="M70" s="22" t="str">
        <f t="shared" si="27"/>
        <v/>
      </c>
      <c r="N70" s="23" t="str">
        <f t="shared" si="28"/>
        <v/>
      </c>
      <c r="O70" s="23" t="str">
        <f t="shared" si="29"/>
        <v/>
      </c>
      <c r="P70" s="4"/>
    </row>
    <row r="71" spans="1:16" x14ac:dyDescent="0.25">
      <c r="A71" s="5" t="s">
        <v>70</v>
      </c>
      <c r="B71" s="5">
        <v>58</v>
      </c>
      <c r="C71" s="6" t="s">
        <v>74</v>
      </c>
      <c r="D71" s="15" t="s">
        <v>72</v>
      </c>
      <c r="E71" s="11">
        <v>0</v>
      </c>
      <c r="F71" s="12">
        <v>2</v>
      </c>
      <c r="G71" s="11">
        <v>0</v>
      </c>
      <c r="H71" s="12">
        <v>2</v>
      </c>
      <c r="I71" s="19">
        <v>1</v>
      </c>
      <c r="J71" s="21">
        <v>2</v>
      </c>
      <c r="K71" s="17"/>
      <c r="L71" s="15"/>
      <c r="M71" s="24" t="str">
        <f t="shared" si="27"/>
        <v/>
      </c>
      <c r="N71" s="25" t="str">
        <f t="shared" si="28"/>
        <v/>
      </c>
      <c r="O71" s="25" t="str">
        <f t="shared" si="29"/>
        <v/>
      </c>
      <c r="P71" s="7"/>
    </row>
    <row r="72" spans="1:16" x14ac:dyDescent="0.25">
      <c r="A72" s="2" t="s">
        <v>70</v>
      </c>
      <c r="B72" s="2">
        <v>59</v>
      </c>
      <c r="C72" s="3" t="s">
        <v>72</v>
      </c>
      <c r="D72" s="14" t="s">
        <v>73</v>
      </c>
      <c r="E72" s="10">
        <v>1</v>
      </c>
      <c r="F72" s="13">
        <v>2</v>
      </c>
      <c r="G72" s="10">
        <v>1</v>
      </c>
      <c r="H72" s="13">
        <v>2</v>
      </c>
      <c r="I72" s="18">
        <v>1</v>
      </c>
      <c r="J72" s="20">
        <v>1</v>
      </c>
      <c r="K72" s="16"/>
      <c r="L72" s="14"/>
      <c r="M72" s="22" t="str">
        <f t="shared" si="27"/>
        <v/>
      </c>
      <c r="N72" s="23" t="str">
        <f t="shared" si="28"/>
        <v/>
      </c>
      <c r="O72" s="23" t="str">
        <f t="shared" si="29"/>
        <v/>
      </c>
      <c r="P72" s="4"/>
    </row>
    <row r="73" spans="1:16" x14ac:dyDescent="0.25">
      <c r="A73" s="5" t="s">
        <v>70</v>
      </c>
      <c r="B73" s="5">
        <v>60</v>
      </c>
      <c r="C73" s="6" t="s">
        <v>74</v>
      </c>
      <c r="D73" s="15" t="s">
        <v>71</v>
      </c>
      <c r="E73" s="11">
        <v>0</v>
      </c>
      <c r="F73" s="12">
        <v>2</v>
      </c>
      <c r="G73" s="11">
        <v>1</v>
      </c>
      <c r="H73" s="12">
        <v>4</v>
      </c>
      <c r="I73" s="19">
        <v>0</v>
      </c>
      <c r="J73" s="21">
        <v>2</v>
      </c>
      <c r="K73" s="17"/>
      <c r="L73" s="15"/>
      <c r="M73" s="24" t="str">
        <f t="shared" si="27"/>
        <v/>
      </c>
      <c r="N73" s="25" t="str">
        <f t="shared" si="28"/>
        <v/>
      </c>
      <c r="O73" s="25" t="str">
        <f t="shared" si="29"/>
        <v/>
      </c>
      <c r="P73" s="7"/>
    </row>
    <row r="74" spans="1:16" ht="18" customHeight="1" x14ac:dyDescent="0.25">
      <c r="A74" s="30" t="s">
        <v>75</v>
      </c>
      <c r="B74" s="31"/>
      <c r="C74" s="31"/>
      <c r="D74" s="31"/>
      <c r="E74" s="31"/>
      <c r="F74" s="31"/>
      <c r="G74" s="31"/>
      <c r="H74" s="31"/>
      <c r="I74" s="31"/>
      <c r="J74" s="31"/>
      <c r="K74" s="31"/>
      <c r="L74" s="31"/>
      <c r="M74" s="31"/>
      <c r="N74" s="31"/>
      <c r="O74" s="31"/>
      <c r="P74" s="31"/>
    </row>
    <row r="75" spans="1:16" x14ac:dyDescent="0.25">
      <c r="A75" s="2" t="s">
        <v>76</v>
      </c>
      <c r="B75" s="2">
        <v>61</v>
      </c>
      <c r="C75" s="3" t="s">
        <v>77</v>
      </c>
      <c r="D75" s="14" t="s">
        <v>78</v>
      </c>
      <c r="E75" s="10">
        <v>2</v>
      </c>
      <c r="F75" s="13">
        <v>0</v>
      </c>
      <c r="G75" s="10">
        <v>2</v>
      </c>
      <c r="H75" s="13">
        <v>0</v>
      </c>
      <c r="I75" s="18">
        <v>1</v>
      </c>
      <c r="J75" s="20">
        <v>0</v>
      </c>
      <c r="K75" s="16"/>
      <c r="L75" s="14"/>
      <c r="M75" s="22" t="str">
        <f t="shared" ref="M75:M80" si="30">IF(OR($K75="",$L75="",$E75="",$F75=""),"",IF($E75=$F75,IF($K75=$L75,IF($E75=$K75,10,6),0),IF(OR($K75=$L75,SIGN($E75-$F75)&lt;&gt;SIGN($K75-$L75)),0,IF(AND($E75=$K75,$F75=$L75),10,IF(($E75-$F75)=($K75-$L75),6,IF(MAX($E75,$F75)=MAX($K75,$L75),5,IF(MIN($E75,$F75)=MIN($K75,$L75),4,3)))))))</f>
        <v/>
      </c>
      <c r="N75" s="23" t="str">
        <f t="shared" ref="N75:N80" si="31">IF(OR($K75="",$L75="",$G75="",$H75=""),"",IF(AND($G75=$K75,$H75=$L75),5+IF(($K75+$L75)&gt;=6,2,IF(($K75+$L75)=5,1,0)),IF(AND($G75=$H75,$K75=$L75),3,IF(AND($G75&lt;&gt;$H75,$K75&lt;&gt;$L75,SIGN($G75-$H75)=SIGN($K75-$L75)),2,0))))</f>
        <v/>
      </c>
      <c r="O75" s="23" t="str">
        <f t="shared" ref="O75:O80" si="32">IF(OR($K75="",$L75="",$I75="",$J75=""),"",IF(AND($I75=$K75,$J75=$L75),3,IF(SIGN($I75-$J75)=SIGN($K75-$L75),1,0)))</f>
        <v/>
      </c>
      <c r="P75" s="4"/>
    </row>
    <row r="76" spans="1:16" x14ac:dyDescent="0.25">
      <c r="A76" s="5" t="s">
        <v>76</v>
      </c>
      <c r="B76" s="5">
        <v>62</v>
      </c>
      <c r="C76" s="6" t="s">
        <v>79</v>
      </c>
      <c r="D76" s="15" t="s">
        <v>80</v>
      </c>
      <c r="E76" s="11">
        <v>0</v>
      </c>
      <c r="F76" s="12">
        <v>2</v>
      </c>
      <c r="G76" s="11">
        <v>0</v>
      </c>
      <c r="H76" s="12">
        <v>2</v>
      </c>
      <c r="I76" s="19">
        <v>0</v>
      </c>
      <c r="J76" s="21">
        <v>1</v>
      </c>
      <c r="K76" s="17"/>
      <c r="L76" s="15"/>
      <c r="M76" s="24" t="str">
        <f t="shared" si="30"/>
        <v/>
      </c>
      <c r="N76" s="25" t="str">
        <f t="shared" si="31"/>
        <v/>
      </c>
      <c r="O76" s="25" t="str">
        <f t="shared" si="32"/>
        <v/>
      </c>
      <c r="P76" s="7"/>
    </row>
    <row r="77" spans="1:16" x14ac:dyDescent="0.25">
      <c r="A77" s="2" t="s">
        <v>76</v>
      </c>
      <c r="B77" s="2">
        <v>63</v>
      </c>
      <c r="C77" s="3" t="s">
        <v>77</v>
      </c>
      <c r="D77" s="14" t="s">
        <v>79</v>
      </c>
      <c r="E77" s="10">
        <v>2</v>
      </c>
      <c r="F77" s="13">
        <v>0</v>
      </c>
      <c r="G77" s="10">
        <v>2</v>
      </c>
      <c r="H77" s="13">
        <v>0</v>
      </c>
      <c r="I77" s="18">
        <v>1</v>
      </c>
      <c r="J77" s="20">
        <v>0</v>
      </c>
      <c r="K77" s="16"/>
      <c r="L77" s="14"/>
      <c r="M77" s="22" t="str">
        <f t="shared" si="30"/>
        <v/>
      </c>
      <c r="N77" s="23" t="str">
        <f t="shared" si="31"/>
        <v/>
      </c>
      <c r="O77" s="23" t="str">
        <f t="shared" si="32"/>
        <v/>
      </c>
      <c r="P77" s="4"/>
    </row>
    <row r="78" spans="1:16" x14ac:dyDescent="0.25">
      <c r="A78" s="5" t="s">
        <v>76</v>
      </c>
      <c r="B78" s="5">
        <v>64</v>
      </c>
      <c r="C78" s="6" t="s">
        <v>80</v>
      </c>
      <c r="D78" s="15" t="s">
        <v>78</v>
      </c>
      <c r="E78" s="11">
        <v>2</v>
      </c>
      <c r="F78" s="12">
        <v>0</v>
      </c>
      <c r="G78" s="11">
        <v>2</v>
      </c>
      <c r="H78" s="12">
        <v>0</v>
      </c>
      <c r="I78" s="19">
        <v>1</v>
      </c>
      <c r="J78" s="21">
        <v>0</v>
      </c>
      <c r="K78" s="17"/>
      <c r="L78" s="15"/>
      <c r="M78" s="24" t="str">
        <f t="shared" si="30"/>
        <v/>
      </c>
      <c r="N78" s="25" t="str">
        <f t="shared" si="31"/>
        <v/>
      </c>
      <c r="O78" s="25" t="str">
        <f t="shared" si="32"/>
        <v/>
      </c>
      <c r="P78" s="7"/>
    </row>
    <row r="79" spans="1:16" x14ac:dyDescent="0.25">
      <c r="A79" s="2" t="s">
        <v>76</v>
      </c>
      <c r="B79" s="2">
        <v>65</v>
      </c>
      <c r="C79" s="3" t="s">
        <v>80</v>
      </c>
      <c r="D79" s="14" t="s">
        <v>77</v>
      </c>
      <c r="E79" s="10">
        <v>1</v>
      </c>
      <c r="F79" s="13">
        <v>2</v>
      </c>
      <c r="G79" s="10">
        <v>1</v>
      </c>
      <c r="H79" s="13">
        <v>3</v>
      </c>
      <c r="I79" s="18">
        <v>0</v>
      </c>
      <c r="J79" s="20">
        <v>1</v>
      </c>
      <c r="K79" s="16"/>
      <c r="L79" s="14"/>
      <c r="M79" s="22" t="str">
        <f t="shared" si="30"/>
        <v/>
      </c>
      <c r="N79" s="23" t="str">
        <f t="shared" si="31"/>
        <v/>
      </c>
      <c r="O79" s="23" t="str">
        <f t="shared" si="32"/>
        <v/>
      </c>
      <c r="P79" s="4"/>
    </row>
    <row r="80" spans="1:16" x14ac:dyDescent="0.25">
      <c r="A80" s="5" t="s">
        <v>76</v>
      </c>
      <c r="B80" s="5">
        <v>66</v>
      </c>
      <c r="C80" s="6" t="s">
        <v>78</v>
      </c>
      <c r="D80" s="15" t="s">
        <v>79</v>
      </c>
      <c r="E80" s="11">
        <v>1</v>
      </c>
      <c r="F80" s="12">
        <v>1</v>
      </c>
      <c r="G80" s="11">
        <v>1</v>
      </c>
      <c r="H80" s="12">
        <v>1</v>
      </c>
      <c r="I80" s="19">
        <v>0</v>
      </c>
      <c r="J80" s="21">
        <v>0</v>
      </c>
      <c r="K80" s="17"/>
      <c r="L80" s="15"/>
      <c r="M80" s="24" t="str">
        <f t="shared" si="30"/>
        <v/>
      </c>
      <c r="N80" s="25" t="str">
        <f t="shared" si="31"/>
        <v/>
      </c>
      <c r="O80" s="25" t="str">
        <f t="shared" si="32"/>
        <v/>
      </c>
      <c r="P80" s="7"/>
    </row>
    <row r="81" spans="1:16" ht="18" customHeight="1" x14ac:dyDescent="0.25">
      <c r="A81" s="30" t="s">
        <v>81</v>
      </c>
      <c r="B81" s="31"/>
      <c r="C81" s="31"/>
      <c r="D81" s="31"/>
      <c r="E81" s="31"/>
      <c r="F81" s="31"/>
      <c r="G81" s="31"/>
      <c r="H81" s="31"/>
      <c r="I81" s="31"/>
      <c r="J81" s="31"/>
      <c r="K81" s="31"/>
      <c r="L81" s="31"/>
      <c r="M81" s="31"/>
      <c r="N81" s="31"/>
      <c r="O81" s="31"/>
      <c r="P81" s="31"/>
    </row>
    <row r="82" spans="1:16" x14ac:dyDescent="0.25">
      <c r="A82" s="2" t="s">
        <v>82</v>
      </c>
      <c r="B82" s="2">
        <v>67</v>
      </c>
      <c r="C82" s="3" t="s">
        <v>83</v>
      </c>
      <c r="D82" s="14" t="s">
        <v>84</v>
      </c>
      <c r="E82" s="10">
        <v>2</v>
      </c>
      <c r="F82" s="13">
        <v>1</v>
      </c>
      <c r="G82" s="10">
        <v>2</v>
      </c>
      <c r="H82" s="13">
        <v>1</v>
      </c>
      <c r="I82" s="18">
        <v>1</v>
      </c>
      <c r="J82" s="20">
        <v>0</v>
      </c>
      <c r="K82" s="16"/>
      <c r="L82" s="14"/>
      <c r="M82" s="22" t="str">
        <f t="shared" ref="M82:M87" si="33">IF(OR($K82="",$L82="",$E82="",$F82=""),"",IF($E82=$F82,IF($K82=$L82,IF($E82=$K82,10,6),0),IF(OR($K82=$L82,SIGN($E82-$F82)&lt;&gt;SIGN($K82-$L82)),0,IF(AND($E82=$K82,$F82=$L82),10,IF(($E82-$F82)=($K82-$L82),6,IF(MAX($E82,$F82)=MAX($K82,$L82),5,IF(MIN($E82,$F82)=MIN($K82,$L82),4,3)))))))</f>
        <v/>
      </c>
      <c r="N82" s="23" t="str">
        <f t="shared" ref="N82:N87" si="34">IF(OR($K82="",$L82="",$G82="",$H82=""),"",IF(AND($G82=$K82,$H82=$L82),5+IF(($K82+$L82)&gt;=6,2,IF(($K82+$L82)=5,1,0)),IF(AND($G82=$H82,$K82=$L82),3,IF(AND($G82&lt;&gt;$H82,$K82&lt;&gt;$L82,SIGN($G82-$H82)=SIGN($K82-$L82)),2,0))))</f>
        <v/>
      </c>
      <c r="O82" s="23" t="str">
        <f t="shared" ref="O82:O87" si="35">IF(OR($K82="",$L82="",$I82="",$J82=""),"",IF(AND($I82=$K82,$J82=$L82),3,IF(SIGN($I82-$J82)=SIGN($K82-$L82),1,0)))</f>
        <v/>
      </c>
      <c r="P82" s="4"/>
    </row>
    <row r="83" spans="1:16" x14ac:dyDescent="0.25">
      <c r="A83" s="5" t="s">
        <v>82</v>
      </c>
      <c r="B83" s="5">
        <v>68</v>
      </c>
      <c r="C83" s="6" t="s">
        <v>85</v>
      </c>
      <c r="D83" s="15" t="s">
        <v>86</v>
      </c>
      <c r="E83" s="11">
        <v>2</v>
      </c>
      <c r="F83" s="12">
        <v>1</v>
      </c>
      <c r="G83" s="11">
        <v>2</v>
      </c>
      <c r="H83" s="12">
        <v>1</v>
      </c>
      <c r="I83" s="19">
        <v>1</v>
      </c>
      <c r="J83" s="21">
        <v>1</v>
      </c>
      <c r="K83" s="17"/>
      <c r="L83" s="15"/>
      <c r="M83" s="24" t="str">
        <f t="shared" si="33"/>
        <v/>
      </c>
      <c r="N83" s="25" t="str">
        <f t="shared" si="34"/>
        <v/>
      </c>
      <c r="O83" s="25" t="str">
        <f t="shared" si="35"/>
        <v/>
      </c>
      <c r="P83" s="7"/>
    </row>
    <row r="84" spans="1:16" x14ac:dyDescent="0.25">
      <c r="A84" s="2" t="s">
        <v>82</v>
      </c>
      <c r="B84" s="2">
        <v>69</v>
      </c>
      <c r="C84" s="3" t="s">
        <v>83</v>
      </c>
      <c r="D84" s="14" t="s">
        <v>85</v>
      </c>
      <c r="E84" s="10">
        <v>2</v>
      </c>
      <c r="F84" s="13">
        <v>0</v>
      </c>
      <c r="G84" s="10">
        <v>4</v>
      </c>
      <c r="H84" s="13">
        <v>1</v>
      </c>
      <c r="I84" s="18">
        <v>1</v>
      </c>
      <c r="J84" s="20">
        <v>0</v>
      </c>
      <c r="K84" s="16"/>
      <c r="L84" s="14"/>
      <c r="M84" s="22" t="str">
        <f t="shared" si="33"/>
        <v/>
      </c>
      <c r="N84" s="23" t="str">
        <f t="shared" si="34"/>
        <v/>
      </c>
      <c r="O84" s="23" t="str">
        <f t="shared" si="35"/>
        <v/>
      </c>
      <c r="P84" s="4"/>
    </row>
    <row r="85" spans="1:16" x14ac:dyDescent="0.25">
      <c r="A85" s="5" t="s">
        <v>82</v>
      </c>
      <c r="B85" s="5">
        <v>70</v>
      </c>
      <c r="C85" s="6" t="s">
        <v>86</v>
      </c>
      <c r="D85" s="15" t="s">
        <v>84</v>
      </c>
      <c r="E85" s="11">
        <v>0</v>
      </c>
      <c r="F85" s="12">
        <v>2</v>
      </c>
      <c r="G85" s="11">
        <v>1</v>
      </c>
      <c r="H85" s="12">
        <v>4</v>
      </c>
      <c r="I85" s="19">
        <v>0</v>
      </c>
      <c r="J85" s="21">
        <v>2</v>
      </c>
      <c r="K85" s="17"/>
      <c r="L85" s="15"/>
      <c r="M85" s="24" t="str">
        <f t="shared" si="33"/>
        <v/>
      </c>
      <c r="N85" s="25" t="str">
        <f t="shared" si="34"/>
        <v/>
      </c>
      <c r="O85" s="25" t="str">
        <f t="shared" si="35"/>
        <v/>
      </c>
      <c r="P85" s="7"/>
    </row>
    <row r="86" spans="1:16" x14ac:dyDescent="0.25">
      <c r="A86" s="2" t="s">
        <v>82</v>
      </c>
      <c r="B86" s="2">
        <v>71</v>
      </c>
      <c r="C86" s="3" t="s">
        <v>86</v>
      </c>
      <c r="D86" s="14" t="s">
        <v>83</v>
      </c>
      <c r="E86" s="10">
        <v>0</v>
      </c>
      <c r="F86" s="13">
        <v>2</v>
      </c>
      <c r="G86" s="10">
        <v>1</v>
      </c>
      <c r="H86" s="13">
        <v>4</v>
      </c>
      <c r="I86" s="18">
        <v>0</v>
      </c>
      <c r="J86" s="20">
        <v>2</v>
      </c>
      <c r="K86" s="16"/>
      <c r="L86" s="14"/>
      <c r="M86" s="22" t="str">
        <f t="shared" si="33"/>
        <v/>
      </c>
      <c r="N86" s="23" t="str">
        <f t="shared" si="34"/>
        <v/>
      </c>
      <c r="O86" s="23" t="str">
        <f t="shared" si="35"/>
        <v/>
      </c>
      <c r="P86" s="4"/>
    </row>
    <row r="87" spans="1:16" x14ac:dyDescent="0.25">
      <c r="A87" s="5" t="s">
        <v>82</v>
      </c>
      <c r="B87" s="5">
        <v>72</v>
      </c>
      <c r="C87" s="6" t="s">
        <v>84</v>
      </c>
      <c r="D87" s="15" t="s">
        <v>85</v>
      </c>
      <c r="E87" s="11">
        <v>2</v>
      </c>
      <c r="F87" s="12">
        <v>0</v>
      </c>
      <c r="G87" s="11">
        <v>2</v>
      </c>
      <c r="H87" s="12">
        <v>0</v>
      </c>
      <c r="I87" s="19">
        <v>1</v>
      </c>
      <c r="J87" s="21">
        <v>0</v>
      </c>
      <c r="K87" s="17"/>
      <c r="L87" s="15"/>
      <c r="M87" s="24" t="str">
        <f t="shared" si="33"/>
        <v/>
      </c>
      <c r="N87" s="25" t="str">
        <f t="shared" si="34"/>
        <v/>
      </c>
      <c r="O87" s="25" t="str">
        <f t="shared" si="35"/>
        <v/>
      </c>
      <c r="P87" s="7"/>
    </row>
  </sheetData>
  <mergeCells count="25">
    <mergeCell ref="A1:P1"/>
    <mergeCell ref="E2:F2"/>
    <mergeCell ref="K2:L2"/>
    <mergeCell ref="O2:O3"/>
    <mergeCell ref="A25:P25"/>
    <mergeCell ref="A18:P18"/>
    <mergeCell ref="A81:P81"/>
    <mergeCell ref="A67:P67"/>
    <mergeCell ref="A39:P39"/>
    <mergeCell ref="A2:A3"/>
    <mergeCell ref="C2:C3"/>
    <mergeCell ref="A11:P11"/>
    <mergeCell ref="A60:P60"/>
    <mergeCell ref="A46:P46"/>
    <mergeCell ref="A74:P74"/>
    <mergeCell ref="A32:P32"/>
    <mergeCell ref="G2:H2"/>
    <mergeCell ref="I2:J2"/>
    <mergeCell ref="A53:P53"/>
    <mergeCell ref="A4:P4"/>
    <mergeCell ref="B2:B3"/>
    <mergeCell ref="M2:M3"/>
    <mergeCell ref="N2:N3"/>
    <mergeCell ref="D2:D3"/>
    <mergeCell ref="P2:P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5"/>
  <sheetViews>
    <sheetView workbookViewId="0"/>
  </sheetViews>
  <sheetFormatPr defaultRowHeight="15" x14ac:dyDescent="0.25"/>
  <cols>
    <col min="1" max="1" width="18" customWidth="1"/>
    <col min="2" max="3" width="16" customWidth="1"/>
  </cols>
  <sheetData>
    <row r="1" spans="1:3" ht="15.75" x14ac:dyDescent="0.25">
      <c r="A1" s="40" t="s">
        <v>87</v>
      </c>
      <c r="B1" s="31"/>
      <c r="C1" s="31"/>
    </row>
    <row r="2" spans="1:3" x14ac:dyDescent="0.25">
      <c r="A2" s="26" t="s">
        <v>88</v>
      </c>
      <c r="B2" s="26" t="s">
        <v>89</v>
      </c>
      <c r="C2" s="26" t="s">
        <v>90</v>
      </c>
    </row>
    <row r="3" spans="1:3" x14ac:dyDescent="0.25">
      <c r="A3" s="27" t="s">
        <v>91</v>
      </c>
      <c r="B3" s="28">
        <f>SUM('Fase de Grupos'!M:M)</f>
        <v>20</v>
      </c>
      <c r="C3" s="28">
        <f>COUNT('Fase de Grupos'!M:M)</f>
        <v>2</v>
      </c>
    </row>
    <row r="4" spans="1:3" x14ac:dyDescent="0.25">
      <c r="A4" s="27" t="s">
        <v>92</v>
      </c>
      <c r="B4" s="28">
        <f>SUM('Fase de Grupos'!N:N)</f>
        <v>7</v>
      </c>
      <c r="C4" s="28">
        <f>COUNT('Fase de Grupos'!N:N)</f>
        <v>2</v>
      </c>
    </row>
    <row r="5" spans="1:3" x14ac:dyDescent="0.25">
      <c r="A5" s="27" t="s">
        <v>93</v>
      </c>
      <c r="B5" s="28">
        <f>SUM('Fase de Grupos'!O:O)</f>
        <v>1</v>
      </c>
      <c r="C5" s="28">
        <f>COUNT('Fase de Grupos'!O:O)</f>
        <v>2</v>
      </c>
    </row>
  </sheetData>
  <mergeCells count="1">
    <mergeCell ref="A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5"/>
  <sheetViews>
    <sheetView showGridLines="0" zoomScaleNormal="100" workbookViewId="0">
      <pane ySplit="3" topLeftCell="A4" activePane="bottomLeft" state="frozen"/>
      <selection pane="bottomLeft"/>
    </sheetView>
  </sheetViews>
  <sheetFormatPr defaultColWidth="8.7109375" defaultRowHeight="15" x14ac:dyDescent="0.25"/>
  <cols>
    <col min="1" max="1" width="8" customWidth="1"/>
    <col min="2" max="7" width="9" customWidth="1"/>
    <col min="8" max="8" width="24" customWidth="1"/>
  </cols>
  <sheetData>
    <row r="1" spans="1:8" ht="25.5" customHeight="1" x14ac:dyDescent="0.25">
      <c r="A1" s="38" t="s">
        <v>94</v>
      </c>
      <c r="B1" s="31"/>
      <c r="C1" s="31"/>
      <c r="D1" s="31"/>
      <c r="E1" s="31"/>
      <c r="F1" s="31"/>
      <c r="G1" s="31"/>
      <c r="H1" s="31"/>
    </row>
    <row r="2" spans="1:8" x14ac:dyDescent="0.25">
      <c r="A2" s="41" t="s">
        <v>1</v>
      </c>
      <c r="B2" s="32" t="s">
        <v>95</v>
      </c>
      <c r="C2" s="33"/>
      <c r="D2" s="32" t="s">
        <v>96</v>
      </c>
      <c r="E2" s="33"/>
      <c r="F2" s="32" t="s">
        <v>93</v>
      </c>
      <c r="G2" s="33"/>
      <c r="H2" s="41" t="s">
        <v>12</v>
      </c>
    </row>
    <row r="3" spans="1:8" x14ac:dyDescent="0.25">
      <c r="A3" s="37"/>
      <c r="B3" s="1" t="s">
        <v>97</v>
      </c>
      <c r="C3" s="1" t="s">
        <v>98</v>
      </c>
      <c r="D3" s="1" t="s">
        <v>97</v>
      </c>
      <c r="E3" s="1" t="s">
        <v>98</v>
      </c>
      <c r="F3" s="1" t="s">
        <v>97</v>
      </c>
      <c r="G3" s="1" t="s">
        <v>98</v>
      </c>
      <c r="H3" s="37"/>
    </row>
    <row r="4" spans="1:8" x14ac:dyDescent="0.25">
      <c r="A4" s="5" t="s">
        <v>16</v>
      </c>
      <c r="B4" s="5"/>
      <c r="C4" s="5"/>
      <c r="D4" s="5" t="s">
        <v>17</v>
      </c>
      <c r="E4" s="5" t="s">
        <v>19</v>
      </c>
      <c r="F4" s="5"/>
      <c r="G4" s="5"/>
      <c r="H4" s="5"/>
    </row>
    <row r="5" spans="1:8" x14ac:dyDescent="0.25">
      <c r="A5" s="2" t="s">
        <v>22</v>
      </c>
      <c r="B5" s="2"/>
      <c r="C5" s="2"/>
      <c r="D5" s="2" t="s">
        <v>23</v>
      </c>
      <c r="E5" s="2" t="s">
        <v>26</v>
      </c>
      <c r="F5" s="2"/>
      <c r="G5" s="2"/>
      <c r="H5" s="2"/>
    </row>
    <row r="6" spans="1:8" x14ac:dyDescent="0.25">
      <c r="A6" s="5" t="s">
        <v>28</v>
      </c>
      <c r="B6" s="5"/>
      <c r="C6" s="5"/>
      <c r="D6" s="5" t="s">
        <v>31</v>
      </c>
      <c r="E6" s="5" t="s">
        <v>32</v>
      </c>
      <c r="F6" s="5"/>
      <c r="G6" s="5"/>
      <c r="H6" s="5"/>
    </row>
    <row r="7" spans="1:8" x14ac:dyDescent="0.25">
      <c r="A7" s="2" t="s">
        <v>34</v>
      </c>
      <c r="B7" s="2"/>
      <c r="C7" s="2"/>
      <c r="D7" s="2" t="s">
        <v>36</v>
      </c>
      <c r="E7" s="2" t="s">
        <v>37</v>
      </c>
      <c r="F7" s="2"/>
      <c r="G7" s="2"/>
      <c r="H7" s="2"/>
    </row>
    <row r="8" spans="1:8" x14ac:dyDescent="0.25">
      <c r="A8" s="5" t="s">
        <v>40</v>
      </c>
      <c r="B8" s="5"/>
      <c r="C8" s="5"/>
      <c r="D8" s="5" t="s">
        <v>42</v>
      </c>
      <c r="E8" s="5" t="s">
        <v>43</v>
      </c>
      <c r="F8" s="5"/>
      <c r="G8" s="5"/>
      <c r="H8" s="5"/>
    </row>
    <row r="9" spans="1:8" x14ac:dyDescent="0.25">
      <c r="A9" s="2" t="s">
        <v>46</v>
      </c>
      <c r="B9" s="2"/>
      <c r="C9" s="2"/>
      <c r="D9" s="2" t="s">
        <v>47</v>
      </c>
      <c r="E9" s="2" t="s">
        <v>50</v>
      </c>
      <c r="F9" s="2"/>
      <c r="G9" s="2"/>
      <c r="H9" s="2"/>
    </row>
    <row r="10" spans="1:8" x14ac:dyDescent="0.25">
      <c r="A10" s="5" t="s">
        <v>52</v>
      </c>
      <c r="B10" s="5"/>
      <c r="C10" s="5"/>
      <c r="D10" s="5" t="s">
        <v>55</v>
      </c>
      <c r="E10" s="5" t="s">
        <v>53</v>
      </c>
      <c r="F10" s="5"/>
      <c r="G10" s="5"/>
      <c r="H10" s="5"/>
    </row>
    <row r="11" spans="1:8" x14ac:dyDescent="0.25">
      <c r="A11" s="2" t="s">
        <v>58</v>
      </c>
      <c r="B11" s="2"/>
      <c r="C11" s="2"/>
      <c r="D11" s="2" t="s">
        <v>61</v>
      </c>
      <c r="E11" s="2" t="s">
        <v>60</v>
      </c>
      <c r="F11" s="2"/>
      <c r="G11" s="2"/>
      <c r="H11" s="2"/>
    </row>
    <row r="12" spans="1:8" x14ac:dyDescent="0.25">
      <c r="A12" s="5" t="s">
        <v>64</v>
      </c>
      <c r="B12" s="5"/>
      <c r="C12" s="5"/>
      <c r="D12" s="5" t="s">
        <v>65</v>
      </c>
      <c r="E12" s="5" t="s">
        <v>68</v>
      </c>
      <c r="F12" s="5"/>
      <c r="G12" s="5"/>
      <c r="H12" s="5"/>
    </row>
    <row r="13" spans="1:8" x14ac:dyDescent="0.25">
      <c r="A13" s="2" t="s">
        <v>70</v>
      </c>
      <c r="B13" s="2"/>
      <c r="C13" s="2"/>
      <c r="D13" s="2" t="s">
        <v>71</v>
      </c>
      <c r="E13" s="2" t="s">
        <v>73</v>
      </c>
      <c r="F13" s="2"/>
      <c r="G13" s="2"/>
      <c r="H13" s="2"/>
    </row>
    <row r="14" spans="1:8" x14ac:dyDescent="0.25">
      <c r="A14" s="5" t="s">
        <v>76</v>
      </c>
      <c r="B14" s="5"/>
      <c r="C14" s="5"/>
      <c r="D14" s="5" t="s">
        <v>77</v>
      </c>
      <c r="E14" s="5" t="s">
        <v>80</v>
      </c>
      <c r="F14" s="5"/>
      <c r="G14" s="5"/>
      <c r="H14" s="5"/>
    </row>
    <row r="15" spans="1:8" x14ac:dyDescent="0.25">
      <c r="A15" s="2" t="s">
        <v>82</v>
      </c>
      <c r="B15" s="2"/>
      <c r="C15" s="2"/>
      <c r="D15" s="2" t="s">
        <v>83</v>
      </c>
      <c r="E15" s="2" t="s">
        <v>84</v>
      </c>
      <c r="F15" s="2"/>
      <c r="G15" s="2"/>
      <c r="H15" s="2"/>
    </row>
  </sheetData>
  <mergeCells count="6">
    <mergeCell ref="F2:G2"/>
    <mergeCell ref="B2:C2"/>
    <mergeCell ref="D2:E2"/>
    <mergeCell ref="A2:A3"/>
    <mergeCell ref="A1:H1"/>
    <mergeCell ref="H2:H3"/>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6"/>
  <sheetViews>
    <sheetView showGridLines="0" zoomScaleNormal="100" workbookViewId="0"/>
  </sheetViews>
  <sheetFormatPr defaultColWidth="8.7109375" defaultRowHeight="15" x14ac:dyDescent="0.25"/>
  <cols>
    <col min="1" max="1" width="24" customWidth="1"/>
    <col min="2" max="2" width="110" customWidth="1"/>
  </cols>
  <sheetData>
    <row r="1" spans="1:2" ht="16.5" customHeight="1" x14ac:dyDescent="0.25">
      <c r="A1" s="42" t="s">
        <v>99</v>
      </c>
      <c r="B1" s="31"/>
    </row>
    <row r="3" spans="1:2" x14ac:dyDescent="0.25">
      <c r="A3" s="8" t="s">
        <v>100</v>
      </c>
      <c r="B3" s="9"/>
    </row>
    <row r="4" spans="1:2" x14ac:dyDescent="0.25">
      <c r="A4" s="8" t="s">
        <v>89</v>
      </c>
      <c r="B4" s="9" t="s">
        <v>101</v>
      </c>
    </row>
    <row r="5" spans="1:2" x14ac:dyDescent="0.25">
      <c r="A5" s="8" t="s">
        <v>96</v>
      </c>
      <c r="B5" s="9" t="s">
        <v>102</v>
      </c>
    </row>
    <row r="6" spans="1:2" x14ac:dyDescent="0.25">
      <c r="A6" s="8" t="s">
        <v>103</v>
      </c>
      <c r="B6" s="9" t="s">
        <v>104</v>
      </c>
    </row>
    <row r="7" spans="1:2" x14ac:dyDescent="0.25">
      <c r="A7" s="8" t="s">
        <v>105</v>
      </c>
      <c r="B7" s="9" t="s">
        <v>106</v>
      </c>
    </row>
    <row r="8" spans="1:2" x14ac:dyDescent="0.25">
      <c r="A8" s="8" t="s">
        <v>107</v>
      </c>
      <c r="B8" s="9" t="s">
        <v>108</v>
      </c>
    </row>
    <row r="9" spans="1:2" x14ac:dyDescent="0.25">
      <c r="A9" s="8" t="s">
        <v>109</v>
      </c>
      <c r="B9" s="9" t="s">
        <v>110</v>
      </c>
    </row>
    <row r="10" spans="1:2" ht="38.25" customHeight="1" x14ac:dyDescent="0.25">
      <c r="A10" s="8" t="s">
        <v>111</v>
      </c>
      <c r="B10" s="9" t="s">
        <v>112</v>
      </c>
    </row>
    <row r="11" spans="1:2" x14ac:dyDescent="0.25">
      <c r="A11" s="29"/>
    </row>
    <row r="12" spans="1:2" x14ac:dyDescent="0.25">
      <c r="A12" s="27" t="s">
        <v>113</v>
      </c>
      <c r="B12" t="s">
        <v>114</v>
      </c>
    </row>
    <row r="13" spans="1:2" x14ac:dyDescent="0.25">
      <c r="A13" s="27" t="s">
        <v>115</v>
      </c>
      <c r="B13" t="s">
        <v>116</v>
      </c>
    </row>
    <row r="14" spans="1:2" x14ac:dyDescent="0.25">
      <c r="A14" s="27" t="s">
        <v>117</v>
      </c>
      <c r="B14" t="s">
        <v>118</v>
      </c>
    </row>
    <row r="15" spans="1:2" x14ac:dyDescent="0.25">
      <c r="A15" s="27" t="s">
        <v>93</v>
      </c>
      <c r="B15" t="s">
        <v>119</v>
      </c>
    </row>
    <row r="16" spans="1:2" x14ac:dyDescent="0.25">
      <c r="A16" s="27" t="s">
        <v>120</v>
      </c>
      <c r="B16" t="s">
        <v>121</v>
      </c>
    </row>
  </sheetData>
  <mergeCells count="1">
    <mergeCell ref="A1:B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Fase de Grupos</vt:lpstr>
      <vt:lpstr>Totais</vt:lpstr>
      <vt:lpstr>Classificados</vt:lpstr>
      <vt:lpstr>Legenda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Alberto Hamoui</cp:lastModifiedBy>
  <cp:revision>0</cp:revision>
  <dcterms:created xsi:type="dcterms:W3CDTF">2026-06-12T18:05:27Z</dcterms:created>
  <dcterms:modified xsi:type="dcterms:W3CDTF">2026-06-12T20:25:06Z</dcterms:modified>
  <dc:language>en-US</dc:language>
</cp:coreProperties>
</file>