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6320" windowWidth="29040" windowHeight="15720" tabRatio="500" firstSheet="0" activeTab="0" autoFilterDateGrouping="1"/>
  </bookViews>
  <sheets>
    <sheet name="Fase de Grupos" sheetId="1" state="visible" r:id="rId1"/>
    <sheet name="Totais" sheetId="2" state="visible" r:id="rId2"/>
    <sheet name="Classificados" sheetId="3" state="visible" r:id="rId3"/>
    <sheet name="Legenda" sheetId="4" state="visible" r:id="rId4"/>
  </sheets>
  <definedNames/>
  <calcPr calcId="191029" fullCalcOnLoad="1"/>
</workbook>
</file>

<file path=xl/styles.xml><?xml version="1.0" encoding="utf-8"?>
<styleSheet xmlns="http://schemas.openxmlformats.org/spreadsheetml/2006/main">
  <numFmts count="0"/>
  <fonts count="12">
    <font>
      <name val="Calibri"/>
      <charset val="1"/>
      <family val="2"/>
      <color theme="1"/>
      <sz val="11"/>
    </font>
    <font>
      <name val="Arial"/>
      <family val="2"/>
      <sz val="10"/>
    </font>
    <font>
      <name val="Arial"/>
      <family val="2"/>
      <b val="1"/>
      <color rgb="FFEDEDED"/>
      <sz val="14"/>
    </font>
    <font>
      <name val="Arial"/>
      <family val="2"/>
      <b val="1"/>
      <color rgb="FFEDEDED"/>
      <sz val="10"/>
    </font>
    <font>
      <name val="Arial"/>
      <family val="2"/>
      <b val="1"/>
      <color rgb="FFEDEDED"/>
      <sz val="9"/>
    </font>
    <font>
      <name val="Arial"/>
      <family val="2"/>
      <sz val="10"/>
    </font>
    <font>
      <name val="Arial"/>
      <family val="2"/>
      <b val="1"/>
      <sz val="10"/>
    </font>
    <font>
      <name val="Arial"/>
      <family val="2"/>
      <b val="1"/>
      <color rgb="FFEDEDED"/>
      <sz val="13"/>
    </font>
    <font>
      <name val="Arial"/>
      <family val="2"/>
      <b val="1"/>
      <color rgb="FF1D213D"/>
      <sz val="10"/>
    </font>
    <font>
      <b val="1"/>
      <color rgb="00FFFFFF"/>
      <sz val="12"/>
    </font>
    <font>
      <b val="1"/>
    </font>
    <font/>
  </fonts>
  <fills count="9">
    <fill>
      <patternFill/>
    </fill>
    <fill>
      <patternFill patternType="gray125"/>
    </fill>
    <fill>
      <patternFill patternType="solid">
        <fgColor rgb="FF1D213D"/>
        <bgColor rgb="FF2A2F52"/>
      </patternFill>
    </fill>
    <fill>
      <patternFill patternType="solid">
        <fgColor rgb="FFAF6C4A"/>
        <bgColor rgb="FF838489"/>
      </patternFill>
    </fill>
    <fill>
      <patternFill patternType="solid">
        <fgColor rgb="FF838489"/>
        <bgColor rgb="FF969696"/>
      </patternFill>
    </fill>
    <fill>
      <patternFill patternType="solid">
        <fgColor rgb="FF2A2F52"/>
        <bgColor rgb="FF1D213D"/>
      </patternFill>
    </fill>
    <fill>
      <patternFill patternType="solid">
        <fgColor rgb="FFF2F2F2"/>
        <bgColor rgb="FFEDEDED"/>
      </patternFill>
    </fill>
    <fill>
      <patternFill patternType="solid">
        <fgColor rgb="001F4E78"/>
      </patternFill>
    </fill>
    <fill>
      <patternFill patternType="solid">
        <fgColor rgb="00BDD7EE"/>
      </patternFill>
    </fill>
  </fills>
  <borders count="10">
    <border>
      <left/>
      <right/>
      <top/>
      <bottom/>
      <diagonal/>
    </border>
    <border>
      <left style="thin">
        <color rgb="FFC9C9C9"/>
      </left>
      <right style="thin">
        <color rgb="FFC9C9C9"/>
      </right>
      <top style="thin">
        <color rgb="FFC9C9C9"/>
      </top>
      <bottom/>
      <diagonal/>
    </border>
    <border>
      <left style="thin">
        <color rgb="FFC9C9C9"/>
      </left>
      <right style="thin">
        <color rgb="FFC9C9C9"/>
      </right>
      <top style="thin">
        <color rgb="FFC9C9C9"/>
      </top>
      <bottom style="thin">
        <color rgb="FFC9C9C9"/>
      </bottom>
      <diagonal/>
    </border>
    <border>
      <left/>
      <right style="thin">
        <color rgb="FFC9C9C9"/>
      </right>
      <top style="thin">
        <color rgb="FFC9C9C9"/>
      </top>
      <bottom style="thin">
        <color rgb="FFC9C9C9"/>
      </bottom>
      <diagonal/>
    </border>
    <border>
      <left style="thin">
        <color rgb="FFC9C9C9"/>
      </left>
      <right style="medium">
        <color indexed="64"/>
      </right>
      <top style="thin">
        <color rgb="FFC9C9C9"/>
      </top>
      <bottom style="thin">
        <color rgb="FFC9C9C9"/>
      </bottom>
      <diagonal/>
    </border>
    <border>
      <left style="thin">
        <color rgb="FFC9C9C9"/>
      </left>
      <right/>
      <top/>
      <bottom/>
      <diagonal/>
    </border>
    <border>
      <left style="thin">
        <color rgb="FFC9C9C9"/>
      </left>
      <right style="thin">
        <color rgb="FFC9C9C9"/>
      </right>
      <top/>
      <bottom/>
      <diagonal/>
    </border>
    <border>
      <left/>
      <right/>
      <top style="thin">
        <color rgb="FFC9C9C9"/>
      </top>
      <bottom/>
      <diagonal/>
    </border>
    <border>
      <left/>
      <right style="thin">
        <color rgb="FFC9C9C9"/>
      </right>
      <top style="thin">
        <color rgb="FFC9C9C9"/>
      </top>
      <bottom/>
      <diagonal/>
    </border>
    <border>
      <left style="thin">
        <color rgb="FFC9C9C9"/>
      </left>
      <right style="thin">
        <color rgb="FFC9C9C9"/>
      </right>
      <top/>
      <bottom style="thin">
        <color rgb="FFC9C9C9"/>
      </bottom>
      <diagonal/>
    </border>
  </borders>
  <cellStyleXfs count="1">
    <xf numFmtId="0" fontId="0" fillId="0" borderId="0"/>
  </cellStyleXfs>
  <cellXfs count="42">
    <xf numFmtId="0" fontId="0" fillId="0" borderId="0" pivotButton="0" quotePrefix="0" xfId="0"/>
    <xf numFmtId="0" fontId="7" fillId="2" borderId="0" applyAlignment="1" pivotButton="0" quotePrefix="0" xfId="0">
      <alignment horizontal="left" vertical="center"/>
    </xf>
    <xf numFmtId="0" fontId="3" fillId="2" borderId="2" applyAlignment="1" pivotButton="0" quotePrefix="0" xfId="0">
      <alignment horizontal="center" vertical="center"/>
    </xf>
    <xf numFmtId="0" fontId="3" fillId="5" borderId="0" applyAlignment="1" pivotButton="0" quotePrefix="0" xfId="0">
      <alignment horizontal="left" vertical="center"/>
    </xf>
    <xf numFmtId="0" fontId="4" fillId="2" borderId="2" applyAlignment="1" pivotButton="0" quotePrefix="0" xfId="0">
      <alignment horizontal="center" vertical="center"/>
    </xf>
    <xf numFmtId="0" fontId="3" fillId="4" borderId="2" applyAlignment="1" pivotButton="0" quotePrefix="0" xfId="0">
      <alignment horizontal="center" vertical="center"/>
    </xf>
    <xf numFmtId="0" fontId="3" fillId="3" borderId="2" applyAlignment="1" pivotButton="0" quotePrefix="0" xfId="0">
      <alignment horizontal="center" vertical="center"/>
    </xf>
    <xf numFmtId="0" fontId="3" fillId="2" borderId="1" applyAlignment="1" pivotButton="0" quotePrefix="0" xfId="0">
      <alignment horizontal="center" vertical="center"/>
    </xf>
    <xf numFmtId="0" fontId="2" fillId="2" borderId="0" applyAlignment="1" pivotButton="0" quotePrefix="0" xfId="0">
      <alignment horizontal="center" vertical="center"/>
    </xf>
    <xf numFmtId="0" fontId="4" fillId="2" borderId="2" applyAlignment="1" pivotButton="0" quotePrefix="0" xfId="0">
      <alignment horizontal="center" vertical="center"/>
    </xf>
    <xf numFmtId="0" fontId="5" fillId="0" borderId="2" applyAlignment="1" pivotButton="0" quotePrefix="0" xfId="0">
      <alignment horizontal="center" vertical="center"/>
    </xf>
    <xf numFmtId="0" fontId="6" fillId="0" borderId="2" applyAlignment="1" pivotButton="0" quotePrefix="0" xfId="0">
      <alignment horizontal="center" vertical="center"/>
    </xf>
    <xf numFmtId="0" fontId="5" fillId="0" borderId="2" applyAlignment="1" pivotButton="0" quotePrefix="0" xfId="0">
      <alignment horizontal="left" vertical="center"/>
    </xf>
    <xf numFmtId="0" fontId="5" fillId="6" borderId="2" applyAlignment="1" pivotButton="0" quotePrefix="0" xfId="0">
      <alignment horizontal="center" vertical="center"/>
    </xf>
    <xf numFmtId="0" fontId="6" fillId="6" borderId="2" applyAlignment="1" pivotButton="0" quotePrefix="0" xfId="0">
      <alignment horizontal="center" vertical="center"/>
    </xf>
    <xf numFmtId="0" fontId="5" fillId="6" borderId="2" applyAlignment="1" pivotButton="0" quotePrefix="0" xfId="0">
      <alignment horizontal="left" vertical="center"/>
    </xf>
    <xf numFmtId="0" fontId="8" fillId="0" borderId="0" pivotButton="0" quotePrefix="0" xfId="0"/>
    <xf numFmtId="0" fontId="5" fillId="0" borderId="0" applyAlignment="1" pivotButton="0" quotePrefix="0" xfId="0">
      <alignment vertical="top" wrapText="1"/>
    </xf>
    <xf numFmtId="0" fontId="5" fillId="0" borderId="3" applyAlignment="1" pivotButton="0" quotePrefix="0" xfId="0">
      <alignment horizontal="center" vertical="center"/>
    </xf>
    <xf numFmtId="0" fontId="5" fillId="6" borderId="3" applyAlignment="1" pivotButton="0" quotePrefix="0" xfId="0">
      <alignment horizontal="center" vertical="center"/>
    </xf>
    <xf numFmtId="0" fontId="5" fillId="6" borderId="4" applyAlignment="1" pivotButton="0" quotePrefix="0" xfId="0">
      <alignment horizontal="center" vertical="center"/>
    </xf>
    <xf numFmtId="0" fontId="5" fillId="0" borderId="4" applyAlignment="1" pivotButton="0" quotePrefix="0" xfId="0">
      <alignment horizontal="center" vertical="center"/>
    </xf>
    <xf numFmtId="0" fontId="6" fillId="0" borderId="4" applyAlignment="1" pivotButton="0" quotePrefix="0" xfId="0">
      <alignment horizontal="center" vertical="center"/>
    </xf>
    <xf numFmtId="0" fontId="6" fillId="6" borderId="4" applyAlignment="1" pivotButton="0" quotePrefix="0" xfId="0">
      <alignment horizontal="center" vertical="center"/>
    </xf>
    <xf numFmtId="0" fontId="6" fillId="0" borderId="3" applyAlignment="1" pivotButton="0" quotePrefix="0" xfId="0">
      <alignment horizontal="center" vertical="center"/>
    </xf>
    <xf numFmtId="0" fontId="6" fillId="6" borderId="3" applyAlignment="1" pivotButton="0" quotePrefix="0" xfId="0">
      <alignment horizontal="center" vertical="center"/>
    </xf>
    <xf numFmtId="0" fontId="1" fillId="0" borderId="2" applyAlignment="1" pivotButton="0" quotePrefix="0" xfId="0">
      <alignment horizontal="center" vertical="center"/>
    </xf>
    <xf numFmtId="0" fontId="1" fillId="6" borderId="2" applyAlignment="1" pivotButton="0" quotePrefix="0" xfId="0">
      <alignment horizontal="center" vertical="center"/>
    </xf>
    <xf numFmtId="0" fontId="1" fillId="0" borderId="4" applyAlignment="1" pivotButton="0" quotePrefix="0" xfId="0">
      <alignment horizontal="center" vertical="center"/>
    </xf>
    <xf numFmtId="0" fontId="1" fillId="6" borderId="4" applyAlignment="1" pivotButton="0" quotePrefix="0" xfId="0">
      <alignment horizontal="center" vertical="center"/>
    </xf>
    <xf numFmtId="0" fontId="0" fillId="0" borderId="3" pivotButton="0" quotePrefix="0" xfId="0"/>
    <xf numFmtId="0" fontId="0" fillId="0" borderId="6" pivotButton="0" quotePrefix="0" xfId="0"/>
    <xf numFmtId="0" fontId="0" fillId="0" borderId="9" pivotButton="0" quotePrefix="0" xfId="0"/>
    <xf numFmtId="0" fontId="5" fillId="0" borderId="3" applyAlignment="1" pivotButton="0" quotePrefix="0" xfId="0">
      <alignment horizontal="center"/>
    </xf>
    <xf numFmtId="0" fontId="5" fillId="0" borderId="2" applyAlignment="1" pivotButton="0" quotePrefix="0" xfId="0">
      <alignment horizontal="center"/>
    </xf>
    <xf numFmtId="0" fontId="5" fillId="6" borderId="3" applyAlignment="1" pivotButton="0" quotePrefix="0" xfId="0">
      <alignment horizontal="center"/>
    </xf>
    <xf numFmtId="0" fontId="5" fillId="6" borderId="2" applyAlignment="1" pivotButton="0" quotePrefix="0" xfId="0">
      <alignment horizontal="center"/>
    </xf>
    <xf numFmtId="0" fontId="9" fillId="7" borderId="0" applyAlignment="1" pivotButton="0" quotePrefix="0" xfId="0">
      <alignment horizontal="center"/>
    </xf>
    <xf numFmtId="0" fontId="10" fillId="8" borderId="0" applyAlignment="1" pivotButton="0" quotePrefix="0" xfId="0">
      <alignment horizontal="center"/>
    </xf>
    <xf numFmtId="0" fontId="10" fillId="0" borderId="0" pivotButton="0" quotePrefix="0" xfId="0"/>
    <xf numFmtId="0" fontId="0" fillId="0" borderId="0" applyAlignment="1" pivotButton="0" quotePrefix="0" xfId="0">
      <alignment horizontal="center"/>
    </xf>
    <xf numFmtId="0" fontId="11" fillId="0" borderId="0" pivotButton="0" quotePrefix="0" xfId="0"/>
  </cellXfs>
  <cellStyles count="1">
    <cellStyle name="Normal" xfId="0" builtinId="0"/>
  </cellStyles>
  <tableStyles count="0" defaultTableStyle="TableStyleMedium2" defaultPivotStyle="PivotStyleLight16"/>
  <colors>
    <indexedColors>
      <rgbColor rgb="FF000000"/>
      <rgbColor rgb="FFF2F2F2"/>
      <rgbColor rgb="FFFF0000"/>
      <rgbColor rgb="FF00FF00"/>
      <rgbColor rgb="FF0000FF"/>
      <rgbColor rgb="FFFFFF00"/>
      <rgbColor rgb="FFFF00FF"/>
      <rgbColor rgb="FF00FFFF"/>
      <rgbColor rgb="FF800000"/>
      <rgbColor rgb="FF008000"/>
      <rgbColor rgb="FF000080"/>
      <rgbColor rgb="FFAF6C4A"/>
      <rgbColor rgb="FF800080"/>
      <rgbColor rgb="FF008080"/>
      <rgbColor rgb="FFC9C9C9"/>
      <rgbColor rgb="FF838489"/>
      <rgbColor rgb="FF9999FF"/>
      <rgbColor rgb="FF993366"/>
      <rgbColor rgb="FFEDEDED"/>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D213D"/>
      <rgbColor rgb="FF339966"/>
      <rgbColor rgb="FF003300"/>
      <rgbColor rgb="FF333300"/>
      <rgbColor rgb="FF993300"/>
      <rgbColor rgb="FF993366"/>
      <rgbColor rgb="FF333399"/>
      <rgbColor rgb="FF2A2F52"/>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87"/>
  <sheetViews>
    <sheetView showGridLines="0" tabSelected="1" zoomScaleNormal="100" workbookViewId="0">
      <pane ySplit="3" topLeftCell="A4" activePane="bottomLeft" state="frozen"/>
      <selection pane="bottomLeft" activeCell="B5" sqref="B5"/>
    </sheetView>
  </sheetViews>
  <sheetFormatPr baseColWidth="8" defaultColWidth="8.7109375" defaultRowHeight="15"/>
  <cols>
    <col width="7" customWidth="1" min="1" max="1"/>
    <col width="6" customWidth="1" min="2" max="2"/>
    <col width="11" customWidth="1" min="3" max="4"/>
    <col width="5" customWidth="1" min="5" max="12"/>
    <col width="8" customWidth="1" min="13" max="14"/>
    <col width="9" customWidth="1" min="15" max="15"/>
    <col width="22" customWidth="1" min="16" max="16"/>
  </cols>
  <sheetData>
    <row r="1" ht="27.75" customHeight="1">
      <c r="A1" s="8" t="inlineStr">
        <is>
          <t>Copa do Mundo 2026 - Controle de Boloes - Fase de Grupos</t>
        </is>
      </c>
    </row>
    <row r="2">
      <c r="A2" s="7" t="inlineStr">
        <is>
          <t>Grupo</t>
        </is>
      </c>
      <c r="B2" s="7" t="inlineStr">
        <is>
          <t>Jogo</t>
        </is>
      </c>
      <c r="C2" s="7" t="inlineStr">
        <is>
          <t>Mandante</t>
        </is>
      </c>
      <c r="D2" s="7" t="inlineStr">
        <is>
          <t>Visitante</t>
        </is>
      </c>
      <c r="E2" s="6" t="inlineStr">
        <is>
          <t>Zap</t>
        </is>
      </c>
      <c r="F2" s="30" t="n"/>
      <c r="G2" s="6" t="inlineStr">
        <is>
          <t>Cli</t>
        </is>
      </c>
      <c r="H2" s="30" t="n"/>
      <c r="I2" s="6" t="inlineStr">
        <is>
          <t>Polla</t>
        </is>
      </c>
      <c r="J2" s="30" t="n"/>
      <c r="K2" s="5" t="inlineStr">
        <is>
          <t>Real</t>
        </is>
      </c>
      <c r="L2" s="30" t="n"/>
      <c r="M2" s="9" t="inlineStr">
        <is>
          <t>Pts Zap</t>
        </is>
      </c>
      <c r="N2" s="9" t="inlineStr">
        <is>
          <t>Pts Cli</t>
        </is>
      </c>
      <c r="O2" s="9" t="inlineStr">
        <is>
          <t>Pts Polla</t>
        </is>
      </c>
      <c r="P2" s="9" t="inlineStr">
        <is>
          <t>Obs</t>
        </is>
      </c>
    </row>
    <row r="3">
      <c r="A3" s="31" t="n"/>
      <c r="B3" s="31" t="n"/>
      <c r="C3" s="31" t="n"/>
      <c r="D3" s="31" t="n"/>
      <c r="E3" s="9" t="inlineStr">
        <is>
          <t>M</t>
        </is>
      </c>
      <c r="F3" s="9" t="inlineStr">
        <is>
          <t>V</t>
        </is>
      </c>
      <c r="G3" s="9" t="inlineStr">
        <is>
          <t>M</t>
        </is>
      </c>
      <c r="H3" s="9" t="inlineStr">
        <is>
          <t>V</t>
        </is>
      </c>
      <c r="I3" s="9" t="inlineStr">
        <is>
          <t>M</t>
        </is>
      </c>
      <c r="J3" s="9" t="inlineStr">
        <is>
          <t>V</t>
        </is>
      </c>
      <c r="K3" s="9" t="inlineStr">
        <is>
          <t>M</t>
        </is>
      </c>
      <c r="L3" s="9" t="inlineStr">
        <is>
          <t>V</t>
        </is>
      </c>
      <c r="M3" s="32" t="n"/>
      <c r="N3" s="32" t="n"/>
      <c r="O3" s="32" t="n"/>
      <c r="P3" s="32" t="n"/>
    </row>
    <row r="4" ht="18" customHeight="1">
      <c r="A4" s="3" t="inlineStr">
        <is>
          <t>Grupo A</t>
        </is>
      </c>
    </row>
    <row r="5">
      <c r="A5" s="10" t="inlineStr">
        <is>
          <t>A</t>
        </is>
      </c>
      <c r="B5" s="10" t="n">
        <v>1</v>
      </c>
      <c r="C5" s="11" t="inlineStr">
        <is>
          <t>MEX</t>
        </is>
      </c>
      <c r="D5" s="22" t="inlineStr">
        <is>
          <t>AFS</t>
        </is>
      </c>
      <c r="E5" s="18" t="n">
        <v>2</v>
      </c>
      <c r="F5" s="21" t="n">
        <v>0</v>
      </c>
      <c r="G5" s="18" t="n">
        <v>2</v>
      </c>
      <c r="H5" s="21" t="n">
        <v>1</v>
      </c>
      <c r="I5" s="26" t="n">
        <v>1</v>
      </c>
      <c r="J5" s="28" t="n">
        <v>0</v>
      </c>
      <c r="K5" s="24" t="n">
        <v>2</v>
      </c>
      <c r="L5" s="22" t="n">
        <v>0</v>
      </c>
      <c r="M5" s="33">
        <f>IF(OR($K5="",$L5="",$E5="",$F5=""),"",IF($E5=$F5,IF($K5=$L5,IF($E5=$K5,10,6),0),IF(OR($K5=$L5,SIGN($E5-$F5)&lt;&gt;SIGN($K5-$L5)),0,IF(AND($E5=$K5,$F5=$L5),10,IF(($E5-$F5)=($K5-$L5),6,IF(MAX($E5,$F5)=MAX($K5,$L5),5,IF(MIN($E5,$F5)=MIN($K5,$L5),4,3)))))))</f>
        <v/>
      </c>
      <c r="N5" s="34">
        <f>IF(OR($K5="",$L5="",$G5="",$H5=""),"",IF(AND($G5=$K5,$H5=$L5),5+IF(($K5+$L5)&gt;=6,2,IF(($K5+$L5)=5,1,0)),IF(AND($G5=$H5,$K5=$L5),3,IF(AND($G5&lt;&gt;$H5,$K5&lt;&gt;$L5,SIGN($G5-$H5)=SIGN($K5-$L5)),2,0))))</f>
        <v/>
      </c>
      <c r="O5" s="34">
        <f>IF(OR($K5="",$L5="",$I5="",$J5=""),"",IF(AND($I5=$K5,$J5=$L5),3,IF(SIGN($I5-$J5)=SIGN($K5-$L5),1,0)))</f>
        <v/>
      </c>
      <c r="P5" s="12" t="n"/>
    </row>
    <row r="6">
      <c r="A6" s="13" t="inlineStr">
        <is>
          <t>A</t>
        </is>
      </c>
      <c r="B6" s="13" t="n">
        <v>2</v>
      </c>
      <c r="C6" s="14" t="inlineStr">
        <is>
          <t>COR</t>
        </is>
      </c>
      <c r="D6" s="23" t="inlineStr">
        <is>
          <t>CZE</t>
        </is>
      </c>
      <c r="E6" s="19" t="n">
        <v>2</v>
      </c>
      <c r="F6" s="20" t="n">
        <v>1</v>
      </c>
      <c r="G6" s="19" t="n">
        <v>2</v>
      </c>
      <c r="H6" s="20" t="n">
        <v>1</v>
      </c>
      <c r="I6" s="27" t="n">
        <v>1</v>
      </c>
      <c r="J6" s="29" t="n">
        <v>1</v>
      </c>
      <c r="K6" s="25" t="n">
        <v>2</v>
      </c>
      <c r="L6" s="23" t="n">
        <v>1</v>
      </c>
      <c r="M6" s="35">
        <f>IF(OR($K6="",$L6="",$E6="",$F6=""),"",IF($E6=$F6,IF($K6=$L6,IF($E6=$K6,10,6),0),IF(OR($K6=$L6,SIGN($E6-$F6)&lt;&gt;SIGN($K6-$L6)),0,IF(AND($E6=$K6,$F6=$L6),10,IF(($E6-$F6)=($K6-$L6),6,IF(MAX($E6,$F6)=MAX($K6,$L6),5,IF(MIN($E6,$F6)=MIN($K6,$L6),4,3)))))))</f>
        <v/>
      </c>
      <c r="N6" s="36">
        <f>IF(OR($K6="",$L6="",$G6="",$H6=""),"",IF(AND($G6=$K6,$H6=$L6),5+IF(($K6+$L6)&gt;=6,2,IF(($K6+$L6)=5,1,0)),IF(AND($G6=$H6,$K6=$L6),3,IF(AND($G6&lt;&gt;$H6,$K6&lt;&gt;$L6,SIGN($G6-$H6)=SIGN($K6-$L6)),2,0))))</f>
        <v/>
      </c>
      <c r="O6" s="36">
        <f>IF(OR($K6="",$L6="",$I6="",$J6=""),"",IF(AND($I6=$K6,$J6=$L6),3,IF(SIGN($I6-$J6)=SIGN($K6-$L6),1,0)))</f>
        <v/>
      </c>
      <c r="P6" s="15" t="n"/>
    </row>
    <row r="7">
      <c r="A7" s="10" t="inlineStr">
        <is>
          <t>A</t>
        </is>
      </c>
      <c r="B7" s="10" t="n">
        <v>3</v>
      </c>
      <c r="C7" s="11" t="inlineStr">
        <is>
          <t>CZE</t>
        </is>
      </c>
      <c r="D7" s="22" t="inlineStr">
        <is>
          <t>AFS</t>
        </is>
      </c>
      <c r="E7" s="18" t="n">
        <v>2</v>
      </c>
      <c r="F7" s="21" t="n">
        <v>1</v>
      </c>
      <c r="G7" s="18" t="n">
        <v>2</v>
      </c>
      <c r="H7" s="21" t="n">
        <v>1</v>
      </c>
      <c r="I7" s="26" t="n">
        <v>1</v>
      </c>
      <c r="J7" s="28" t="n">
        <v>0</v>
      </c>
      <c r="K7" s="24" t="n"/>
      <c r="L7" s="22" t="n"/>
      <c r="M7" s="33">
        <f>IF(OR($K7="",$L7="",$E7="",$F7=""),"",IF($E7=$F7,IF($K7=$L7,IF($E7=$K7,10,6),0),IF(OR($K7=$L7,SIGN($E7-$F7)&lt;&gt;SIGN($K7-$L7)),0,IF(AND($E7=$K7,$F7=$L7),10,IF(($E7-$F7)=($K7-$L7),6,IF(MAX($E7,$F7)=MAX($K7,$L7),5,IF(MIN($E7,$F7)=MIN($K7,$L7),4,3)))))))</f>
        <v/>
      </c>
      <c r="N7" s="34">
        <f>IF(OR($K7="",$L7="",$G7="",$H7=""),"",IF(AND($G7=$K7,$H7=$L7),5+IF(($K7+$L7)&gt;=6,2,IF(($K7+$L7)=5,1,0)),IF(AND($G7=$H7,$K7=$L7),3,IF(AND($G7&lt;&gt;$H7,$K7&lt;&gt;$L7,SIGN($G7-$H7)=SIGN($K7-$L7)),2,0))))</f>
        <v/>
      </c>
      <c r="O7" s="34">
        <f>IF(OR($K7="",$L7="",$I7="",$J7=""),"",IF(AND($I7=$K7,$J7=$L7),3,IF(SIGN($I7-$J7)=SIGN($K7-$L7),1,0)))</f>
        <v/>
      </c>
      <c r="P7" s="12" t="n"/>
    </row>
    <row r="8">
      <c r="A8" s="13" t="inlineStr">
        <is>
          <t>A</t>
        </is>
      </c>
      <c r="B8" s="13" t="n">
        <v>4</v>
      </c>
      <c r="C8" s="14" t="inlineStr">
        <is>
          <t>MEX</t>
        </is>
      </c>
      <c r="D8" s="23" t="inlineStr">
        <is>
          <t>COR</t>
        </is>
      </c>
      <c r="E8" s="19" t="n">
        <v>2</v>
      </c>
      <c r="F8" s="20" t="n">
        <v>1</v>
      </c>
      <c r="G8" s="19" t="n">
        <v>2</v>
      </c>
      <c r="H8" s="20" t="n">
        <v>1</v>
      </c>
      <c r="I8" s="27" t="n">
        <v>1</v>
      </c>
      <c r="J8" s="29" t="n">
        <v>1</v>
      </c>
      <c r="K8" s="25" t="n"/>
      <c r="L8" s="23" t="n"/>
      <c r="M8" s="35">
        <f>IF(OR($K8="",$L8="",$E8="",$F8=""),"",IF($E8=$F8,IF($K8=$L8,IF($E8=$K8,10,6),0),IF(OR($K8=$L8,SIGN($E8-$F8)&lt;&gt;SIGN($K8-$L8)),0,IF(AND($E8=$K8,$F8=$L8),10,IF(($E8-$F8)=($K8-$L8),6,IF(MAX($E8,$F8)=MAX($K8,$L8),5,IF(MIN($E8,$F8)=MIN($K8,$L8),4,3)))))))</f>
        <v/>
      </c>
      <c r="N8" s="36">
        <f>IF(OR($K8="",$L8="",$G8="",$H8=""),"",IF(AND($G8=$K8,$H8=$L8),5+IF(($K8+$L8)&gt;=6,2,IF(($K8+$L8)=5,1,0)),IF(AND($G8=$H8,$K8=$L8),3,IF(AND($G8&lt;&gt;$H8,$K8&lt;&gt;$L8,SIGN($G8-$H8)=SIGN($K8-$L8)),2,0))))</f>
        <v/>
      </c>
      <c r="O8" s="36">
        <f>IF(OR($K8="",$L8="",$I8="",$J8=""),"",IF(AND($I8=$K8,$J8=$L8),3,IF(SIGN($I8-$J8)=SIGN($K8-$L8),1,0)))</f>
        <v/>
      </c>
      <c r="P8" s="15" t="n"/>
    </row>
    <row r="9">
      <c r="A9" s="10" t="inlineStr">
        <is>
          <t>A</t>
        </is>
      </c>
      <c r="B9" s="10" t="n">
        <v>5</v>
      </c>
      <c r="C9" s="11" t="inlineStr">
        <is>
          <t>CZE</t>
        </is>
      </c>
      <c r="D9" s="22" t="inlineStr">
        <is>
          <t>MEX</t>
        </is>
      </c>
      <c r="E9" s="18" t="n">
        <v>2</v>
      </c>
      <c r="F9" s="21" t="n">
        <v>1</v>
      </c>
      <c r="G9" s="18" t="n">
        <v>1</v>
      </c>
      <c r="H9" s="21" t="n">
        <v>2</v>
      </c>
      <c r="I9" s="26" t="n">
        <v>1</v>
      </c>
      <c r="J9" s="28" t="n">
        <v>1</v>
      </c>
      <c r="K9" s="24" t="n"/>
      <c r="L9" s="22" t="n"/>
      <c r="M9" s="33">
        <f>IF(OR($K9="",$L9="",$E9="",$F9=""),"",IF($E9=$F9,IF($K9=$L9,IF($E9=$K9,10,6),0),IF(OR($K9=$L9,SIGN($E9-$F9)&lt;&gt;SIGN($K9-$L9)),0,IF(AND($E9=$K9,$F9=$L9),10,IF(($E9-$F9)=($K9-$L9),6,IF(MAX($E9,$F9)=MAX($K9,$L9),5,IF(MIN($E9,$F9)=MIN($K9,$L9),4,3)))))))</f>
        <v/>
      </c>
      <c r="N9" s="34">
        <f>IF(OR($K9="",$L9="",$G9="",$H9=""),"",IF(AND($G9=$K9,$H9=$L9),5+IF(($K9+$L9)&gt;=6,2,IF(($K9+$L9)=5,1,0)),IF(AND($G9=$H9,$K9=$L9),3,IF(AND($G9&lt;&gt;$H9,$K9&lt;&gt;$L9,SIGN($G9-$H9)=SIGN($K9-$L9)),2,0))))</f>
        <v/>
      </c>
      <c r="O9" s="34">
        <f>IF(OR($K9="",$L9="",$I9="",$J9=""),"",IF(AND($I9=$K9,$J9=$L9),3,IF(SIGN($I9-$J9)=SIGN($K9-$L9),1,0)))</f>
        <v/>
      </c>
      <c r="P9" s="12" t="n"/>
    </row>
    <row r="10">
      <c r="A10" s="13" t="inlineStr">
        <is>
          <t>A</t>
        </is>
      </c>
      <c r="B10" s="13" t="n">
        <v>6</v>
      </c>
      <c r="C10" s="14" t="inlineStr">
        <is>
          <t>AFS</t>
        </is>
      </c>
      <c r="D10" s="23" t="inlineStr">
        <is>
          <t>COR</t>
        </is>
      </c>
      <c r="E10" s="19" t="n">
        <v>1</v>
      </c>
      <c r="F10" s="20" t="n">
        <v>2</v>
      </c>
      <c r="G10" s="19" t="n">
        <v>1</v>
      </c>
      <c r="H10" s="20" t="n">
        <v>2</v>
      </c>
      <c r="I10" s="27" t="n">
        <v>0</v>
      </c>
      <c r="J10" s="29" t="n">
        <v>1</v>
      </c>
      <c r="K10" s="25" t="n"/>
      <c r="L10" s="23" t="n"/>
      <c r="M10" s="35">
        <f>IF(OR($K10="",$L10="",$E10="",$F10=""),"",IF($E10=$F10,IF($K10=$L10,IF($E10=$K10,10,6),0),IF(OR($K10=$L10,SIGN($E10-$F10)&lt;&gt;SIGN($K10-$L10)),0,IF(AND($E10=$K10,$F10=$L10),10,IF(($E10-$F10)=($K10-$L10),6,IF(MAX($E10,$F10)=MAX($K10,$L10),5,IF(MIN($E10,$F10)=MIN($K10,$L10),4,3)))))))</f>
        <v/>
      </c>
      <c r="N10" s="36">
        <f>IF(OR($K10="",$L10="",$G10="",$H10=""),"",IF(AND($G10=$K10,$H10=$L10),5+IF(($K10+$L10)&gt;=6,2,IF(($K10+$L10)=5,1,0)),IF(AND($G10=$H10,$K10=$L10),3,IF(AND($G10&lt;&gt;$H10,$K10&lt;&gt;$L10,SIGN($G10-$H10)=SIGN($K10-$L10)),2,0))))</f>
        <v/>
      </c>
      <c r="O10" s="36">
        <f>IF(OR($K10="",$L10="",$I10="",$J10=""),"",IF(AND($I10=$K10,$J10=$L10),3,IF(SIGN($I10-$J10)=SIGN($K10-$L10),1,0)))</f>
        <v/>
      </c>
      <c r="P10" s="15" t="n"/>
    </row>
    <row r="11" ht="18" customHeight="1">
      <c r="A11" s="3" t="inlineStr">
        <is>
          <t>Grupo B</t>
        </is>
      </c>
    </row>
    <row r="12">
      <c r="A12" s="10" t="inlineStr">
        <is>
          <t>B</t>
        </is>
      </c>
      <c r="B12" s="10" t="n">
        <v>7</v>
      </c>
      <c r="C12" s="11" t="inlineStr">
        <is>
          <t>CAN</t>
        </is>
      </c>
      <c r="D12" s="22" t="inlineStr">
        <is>
          <t>BOS</t>
        </is>
      </c>
      <c r="E12" s="18" t="n">
        <v>2</v>
      </c>
      <c r="F12" s="21" t="n">
        <v>0</v>
      </c>
      <c r="G12" s="18" t="n">
        <v>2</v>
      </c>
      <c r="H12" s="21" t="n">
        <v>0</v>
      </c>
      <c r="I12" s="26" t="n">
        <v>1</v>
      </c>
      <c r="J12" s="28" t="n">
        <v>0</v>
      </c>
      <c r="K12" s="24" t="n"/>
      <c r="L12" s="22" t="n"/>
      <c r="M12" s="33">
        <f>IF(OR($K12="",$L12="",$E12="",$F12=""),"",IF($E12=$F12,IF($K12=$L12,IF($E12=$K12,10,6),0),IF(OR($K12=$L12,SIGN($E12-$F12)&lt;&gt;SIGN($K12-$L12)),0,IF(AND($E12=$K12,$F12=$L12),10,IF(($E12-$F12)=($K12-$L12),6,IF(MAX($E12,$F12)=MAX($K12,$L12),5,IF(MIN($E12,$F12)=MIN($K12,$L12),4,3)))))))</f>
        <v/>
      </c>
      <c r="N12" s="34">
        <f>IF(OR($K12="",$L12="",$G12="",$H12=""),"",IF(AND($G12=$K12,$H12=$L12),5+IF(($K12+$L12)&gt;=6,2,IF(($K12+$L12)=5,1,0)),IF(AND($G12=$H12,$K12=$L12),3,IF(AND($G12&lt;&gt;$H12,$K12&lt;&gt;$L12,SIGN($G12-$H12)=SIGN($K12-$L12)),2,0))))</f>
        <v/>
      </c>
      <c r="O12" s="34">
        <f>IF(OR($K12="",$L12="",$I12="",$J12=""),"",IF(AND($I12=$K12,$J12=$L12),3,IF(SIGN($I12-$J12)=SIGN($K12-$L12),1,0)))</f>
        <v/>
      </c>
      <c r="P12" s="12" t="n"/>
    </row>
    <row r="13">
      <c r="A13" s="13" t="inlineStr">
        <is>
          <t>B</t>
        </is>
      </c>
      <c r="B13" s="13" t="n">
        <v>8</v>
      </c>
      <c r="C13" s="14" t="inlineStr">
        <is>
          <t>CAT</t>
        </is>
      </c>
      <c r="D13" s="23" t="inlineStr">
        <is>
          <t>SUI</t>
        </is>
      </c>
      <c r="E13" s="19" t="n">
        <v>0</v>
      </c>
      <c r="F13" s="20" t="n">
        <v>2</v>
      </c>
      <c r="G13" s="19" t="n">
        <v>1</v>
      </c>
      <c r="H13" s="20" t="n">
        <v>4</v>
      </c>
      <c r="I13" s="27" t="n">
        <v>0</v>
      </c>
      <c r="J13" s="29" t="n">
        <v>2</v>
      </c>
      <c r="K13" s="25" t="n"/>
      <c r="L13" s="23" t="n"/>
      <c r="M13" s="35">
        <f>IF(OR($K13="",$L13="",$E13="",$F13=""),"",IF($E13=$F13,IF($K13=$L13,IF($E13=$K13,10,6),0),IF(OR($K13=$L13,SIGN($E13-$F13)&lt;&gt;SIGN($K13-$L13)),0,IF(AND($E13=$K13,$F13=$L13),10,IF(($E13-$F13)=($K13-$L13),6,IF(MAX($E13,$F13)=MAX($K13,$L13),5,IF(MIN($E13,$F13)=MIN($K13,$L13),4,3)))))))</f>
        <v/>
      </c>
      <c r="N13" s="36">
        <f>IF(OR($K13="",$L13="",$G13="",$H13=""),"",IF(AND($G13=$K13,$H13=$L13),5+IF(($K13+$L13)&gt;=6,2,IF(($K13+$L13)=5,1,0)),IF(AND($G13=$H13,$K13=$L13),3,IF(AND($G13&lt;&gt;$H13,$K13&lt;&gt;$L13,SIGN($G13-$H13)=SIGN($K13-$L13)),2,0))))</f>
        <v/>
      </c>
      <c r="O13" s="36">
        <f>IF(OR($K13="",$L13="",$I13="",$J13=""),"",IF(AND($I13=$K13,$J13=$L13),3,IF(SIGN($I13-$J13)=SIGN($K13-$L13),1,0)))</f>
        <v/>
      </c>
      <c r="P13" s="15" t="n"/>
    </row>
    <row r="14">
      <c r="A14" s="10" t="inlineStr">
        <is>
          <t>B</t>
        </is>
      </c>
      <c r="B14" s="10" t="n">
        <v>9</v>
      </c>
      <c r="C14" s="11" t="inlineStr">
        <is>
          <t>SUI</t>
        </is>
      </c>
      <c r="D14" s="22" t="inlineStr">
        <is>
          <t>BOS</t>
        </is>
      </c>
      <c r="E14" s="18" t="n">
        <v>2</v>
      </c>
      <c r="F14" s="21" t="n">
        <v>0</v>
      </c>
      <c r="G14" s="18" t="n">
        <v>4</v>
      </c>
      <c r="H14" s="21" t="n">
        <v>1</v>
      </c>
      <c r="I14" s="26" t="n">
        <v>2</v>
      </c>
      <c r="J14" s="28" t="n">
        <v>0</v>
      </c>
      <c r="K14" s="24" t="n"/>
      <c r="L14" s="22" t="n"/>
      <c r="M14" s="33">
        <f>IF(OR($K14="",$L14="",$E14="",$F14=""),"",IF($E14=$F14,IF($K14=$L14,IF($E14=$K14,10,6),0),IF(OR($K14=$L14,SIGN($E14-$F14)&lt;&gt;SIGN($K14-$L14)),0,IF(AND($E14=$K14,$F14=$L14),10,IF(($E14-$F14)=($K14-$L14),6,IF(MAX($E14,$F14)=MAX($K14,$L14),5,IF(MIN($E14,$F14)=MIN($K14,$L14),4,3)))))))</f>
        <v/>
      </c>
      <c r="N14" s="34">
        <f>IF(OR($K14="",$L14="",$G14="",$H14=""),"",IF(AND($G14=$K14,$H14=$L14),5+IF(($K14+$L14)&gt;=6,2,IF(($K14+$L14)=5,1,0)),IF(AND($G14=$H14,$K14=$L14),3,IF(AND($G14&lt;&gt;$H14,$K14&lt;&gt;$L14,SIGN($G14-$H14)=SIGN($K14-$L14)),2,0))))</f>
        <v/>
      </c>
      <c r="O14" s="34">
        <f>IF(OR($K14="",$L14="",$I14="",$J14=""),"",IF(AND($I14=$K14,$J14=$L14),3,IF(SIGN($I14-$J14)=SIGN($K14-$L14),1,0)))</f>
        <v/>
      </c>
      <c r="P14" s="12" t="n"/>
    </row>
    <row r="15">
      <c r="A15" s="13" t="inlineStr">
        <is>
          <t>B</t>
        </is>
      </c>
      <c r="B15" s="13" t="n">
        <v>10</v>
      </c>
      <c r="C15" s="14" t="inlineStr">
        <is>
          <t>CAN</t>
        </is>
      </c>
      <c r="D15" s="23" t="inlineStr">
        <is>
          <t>CAT</t>
        </is>
      </c>
      <c r="E15" s="19" t="n">
        <v>2</v>
      </c>
      <c r="F15" s="20" t="n">
        <v>0</v>
      </c>
      <c r="G15" s="19" t="n">
        <v>4</v>
      </c>
      <c r="H15" s="20" t="n">
        <v>1</v>
      </c>
      <c r="I15" s="27" t="n">
        <v>2</v>
      </c>
      <c r="J15" s="29" t="n">
        <v>0</v>
      </c>
      <c r="K15" s="25" t="n"/>
      <c r="L15" s="23" t="n"/>
      <c r="M15" s="35">
        <f>IF(OR($K15="",$L15="",$E15="",$F15=""),"",IF($E15=$F15,IF($K15=$L15,IF($E15=$K15,10,6),0),IF(OR($K15=$L15,SIGN($E15-$F15)&lt;&gt;SIGN($K15-$L15)),0,IF(AND($E15=$K15,$F15=$L15),10,IF(($E15-$F15)=($K15-$L15),6,IF(MAX($E15,$F15)=MAX($K15,$L15),5,IF(MIN($E15,$F15)=MIN($K15,$L15),4,3)))))))</f>
        <v/>
      </c>
      <c r="N15" s="36">
        <f>IF(OR($K15="",$L15="",$G15="",$H15=""),"",IF(AND($G15=$K15,$H15=$L15),5+IF(($K15+$L15)&gt;=6,2,IF(($K15+$L15)=5,1,0)),IF(AND($G15=$H15,$K15=$L15),3,IF(AND($G15&lt;&gt;$H15,$K15&lt;&gt;$L15,SIGN($G15-$H15)=SIGN($K15-$L15)),2,0))))</f>
        <v/>
      </c>
      <c r="O15" s="36">
        <f>IF(OR($K15="",$L15="",$I15="",$J15=""),"",IF(AND($I15=$K15,$J15=$L15),3,IF(SIGN($I15-$J15)=SIGN($K15-$L15),1,0)))</f>
        <v/>
      </c>
      <c r="P15" s="15" t="n"/>
    </row>
    <row r="16">
      <c r="A16" s="10" t="inlineStr">
        <is>
          <t>B</t>
        </is>
      </c>
      <c r="B16" s="10" t="n">
        <v>11</v>
      </c>
      <c r="C16" s="11" t="inlineStr">
        <is>
          <t>SUI</t>
        </is>
      </c>
      <c r="D16" s="22" t="inlineStr">
        <is>
          <t>CAN</t>
        </is>
      </c>
      <c r="E16" s="18" t="n">
        <v>2</v>
      </c>
      <c r="F16" s="21" t="n">
        <v>1</v>
      </c>
      <c r="G16" s="18" t="n">
        <v>1</v>
      </c>
      <c r="H16" s="21" t="n">
        <v>2</v>
      </c>
      <c r="I16" s="26" t="n">
        <v>1</v>
      </c>
      <c r="J16" s="28" t="n">
        <v>0</v>
      </c>
      <c r="K16" s="24" t="n"/>
      <c r="L16" s="22" t="n"/>
      <c r="M16" s="33">
        <f>IF(OR($K16="",$L16="",$E16="",$F16=""),"",IF($E16=$F16,IF($K16=$L16,IF($E16=$K16,10,6),0),IF(OR($K16=$L16,SIGN($E16-$F16)&lt;&gt;SIGN($K16-$L16)),0,IF(AND($E16=$K16,$F16=$L16),10,IF(($E16-$F16)=($K16-$L16),6,IF(MAX($E16,$F16)=MAX($K16,$L16),5,IF(MIN($E16,$F16)=MIN($K16,$L16),4,3)))))))</f>
        <v/>
      </c>
      <c r="N16" s="34">
        <f>IF(OR($K16="",$L16="",$G16="",$H16=""),"",IF(AND($G16=$K16,$H16=$L16),5+IF(($K16+$L16)&gt;=6,2,IF(($K16+$L16)=5,1,0)),IF(AND($G16=$H16,$K16=$L16),3,IF(AND($G16&lt;&gt;$H16,$K16&lt;&gt;$L16,SIGN($G16-$H16)=SIGN($K16-$L16)),2,0))))</f>
        <v/>
      </c>
      <c r="O16" s="34">
        <f>IF(OR($K16="",$L16="",$I16="",$J16=""),"",IF(AND($I16=$K16,$J16=$L16),3,IF(SIGN($I16-$J16)=SIGN($K16-$L16),1,0)))</f>
        <v/>
      </c>
      <c r="P16" s="12" t="n"/>
    </row>
    <row r="17">
      <c r="A17" s="13" t="inlineStr">
        <is>
          <t>B</t>
        </is>
      </c>
      <c r="B17" s="13" t="n">
        <v>12</v>
      </c>
      <c r="C17" s="14" t="inlineStr">
        <is>
          <t>BOS</t>
        </is>
      </c>
      <c r="D17" s="23" t="inlineStr">
        <is>
          <t>CAT</t>
        </is>
      </c>
      <c r="E17" s="19" t="n">
        <v>2</v>
      </c>
      <c r="F17" s="20" t="n">
        <v>1</v>
      </c>
      <c r="G17" s="19" t="n">
        <v>2</v>
      </c>
      <c r="H17" s="20" t="n">
        <v>1</v>
      </c>
      <c r="I17" s="27" t="n">
        <v>1</v>
      </c>
      <c r="J17" s="29" t="n">
        <v>0</v>
      </c>
      <c r="K17" s="25" t="n"/>
      <c r="L17" s="23" t="n"/>
      <c r="M17" s="35">
        <f>IF(OR($K17="",$L17="",$E17="",$F17=""),"",IF($E17=$F17,IF($K17=$L17,IF($E17=$K17,10,6),0),IF(OR($K17=$L17,SIGN($E17-$F17)&lt;&gt;SIGN($K17-$L17)),0,IF(AND($E17=$K17,$F17=$L17),10,IF(($E17-$F17)=($K17-$L17),6,IF(MAX($E17,$F17)=MAX($K17,$L17),5,IF(MIN($E17,$F17)=MIN($K17,$L17),4,3)))))))</f>
        <v/>
      </c>
      <c r="N17" s="36">
        <f>IF(OR($K17="",$L17="",$G17="",$H17=""),"",IF(AND($G17=$K17,$H17=$L17),5+IF(($K17+$L17)&gt;=6,2,IF(($K17+$L17)=5,1,0)),IF(AND($G17=$H17,$K17=$L17),3,IF(AND($G17&lt;&gt;$H17,$K17&lt;&gt;$L17,SIGN($G17-$H17)=SIGN($K17-$L17)),2,0))))</f>
        <v/>
      </c>
      <c r="O17" s="36">
        <f>IF(OR($K17="",$L17="",$I17="",$J17=""),"",IF(AND($I17=$K17,$J17=$L17),3,IF(SIGN($I17-$J17)=SIGN($K17-$L17),1,0)))</f>
        <v/>
      </c>
      <c r="P17" s="15" t="n"/>
    </row>
    <row r="18" ht="18" customHeight="1">
      <c r="A18" s="3" t="inlineStr">
        <is>
          <t>Grupo C</t>
        </is>
      </c>
    </row>
    <row r="19">
      <c r="A19" s="10" t="inlineStr">
        <is>
          <t>C</t>
        </is>
      </c>
      <c r="B19" s="10" t="n">
        <v>13</v>
      </c>
      <c r="C19" s="11" t="inlineStr">
        <is>
          <t>HAI</t>
        </is>
      </c>
      <c r="D19" s="22" t="inlineStr">
        <is>
          <t>ESC</t>
        </is>
      </c>
      <c r="E19" s="18" t="n">
        <v>0</v>
      </c>
      <c r="F19" s="21" t="n">
        <v>2</v>
      </c>
      <c r="G19" s="18" t="n">
        <v>1</v>
      </c>
      <c r="H19" s="21" t="n">
        <v>4</v>
      </c>
      <c r="I19" s="26" t="n">
        <v>0</v>
      </c>
      <c r="J19" s="28" t="n">
        <v>2</v>
      </c>
      <c r="K19" s="24" t="n"/>
      <c r="L19" s="22" t="n"/>
      <c r="M19" s="33">
        <f>IF(OR($K19="",$L19="",$E19="",$F19=""),"",IF($E19=$F19,IF($K19=$L19,IF($E19=$K19,10,6),0),IF(OR($K19=$L19,SIGN($E19-$F19)&lt;&gt;SIGN($K19-$L19)),0,IF(AND($E19=$K19,$F19=$L19),10,IF(($E19-$F19)=($K19-$L19),6,IF(MAX($E19,$F19)=MAX($K19,$L19),5,IF(MIN($E19,$F19)=MIN($K19,$L19),4,3)))))))</f>
        <v/>
      </c>
      <c r="N19" s="34">
        <f>IF(OR($K19="",$L19="",$G19="",$H19=""),"",IF(AND($G19=$K19,$H19=$L19),5+IF(($K19+$L19)&gt;=6,2,IF(($K19+$L19)=5,1,0)),IF(AND($G19=$H19,$K19=$L19),3,IF(AND($G19&lt;&gt;$H19,$K19&lt;&gt;$L19,SIGN($G19-$H19)=SIGN($K19-$L19)),2,0))))</f>
        <v/>
      </c>
      <c r="O19" s="34">
        <f>IF(OR($K19="",$L19="",$I19="",$J19=""),"",IF(AND($I19=$K19,$J19=$L19),3,IF(SIGN($I19-$J19)=SIGN($K19-$L19),1,0)))</f>
        <v/>
      </c>
      <c r="P19" s="12" t="n"/>
    </row>
    <row r="20">
      <c r="A20" s="13" t="inlineStr">
        <is>
          <t>C</t>
        </is>
      </c>
      <c r="B20" s="13" t="n">
        <v>14</v>
      </c>
      <c r="C20" s="14" t="inlineStr">
        <is>
          <t>BRA</t>
        </is>
      </c>
      <c r="D20" s="23" t="inlineStr">
        <is>
          <t>MAR</t>
        </is>
      </c>
      <c r="E20" s="19" t="n">
        <v>2</v>
      </c>
      <c r="F20" s="20" t="n">
        <v>1</v>
      </c>
      <c r="G20" s="19" t="n">
        <v>2</v>
      </c>
      <c r="H20" s="20" t="n">
        <v>1</v>
      </c>
      <c r="I20" s="27" t="n">
        <v>1</v>
      </c>
      <c r="J20" s="29" t="n">
        <v>0</v>
      </c>
      <c r="K20" s="25" t="n"/>
      <c r="L20" s="23" t="n"/>
      <c r="M20" s="35">
        <f>IF(OR($K20="",$L20="",$E20="",$F20=""),"",IF($E20=$F20,IF($K20=$L20,IF($E20=$K20,10,6),0),IF(OR($K20=$L20,SIGN($E20-$F20)&lt;&gt;SIGN($K20-$L20)),0,IF(AND($E20=$K20,$F20=$L20),10,IF(($E20-$F20)=($K20-$L20),6,IF(MAX($E20,$F20)=MAX($K20,$L20),5,IF(MIN($E20,$F20)=MIN($K20,$L20),4,3)))))))</f>
        <v/>
      </c>
      <c r="N20" s="36">
        <f>IF(OR($K20="",$L20="",$G20="",$H20=""),"",IF(AND($G20=$K20,$H20=$L20),5+IF(($K20+$L20)&gt;=6,2,IF(($K20+$L20)=5,1,0)),IF(AND($G20=$H20,$K20=$L20),3,IF(AND($G20&lt;&gt;$H20,$K20&lt;&gt;$L20,SIGN($G20-$H20)=SIGN($K20-$L20)),2,0))))</f>
        <v/>
      </c>
      <c r="O20" s="36">
        <f>IF(OR($K20="",$L20="",$I20="",$J20=""),"",IF(AND($I20=$K20,$J20=$L20),3,IF(SIGN($I20-$J20)=SIGN($K20-$L20),1,0)))</f>
        <v/>
      </c>
      <c r="P20" s="15" t="n"/>
    </row>
    <row r="21">
      <c r="A21" s="10" t="inlineStr">
        <is>
          <t>C</t>
        </is>
      </c>
      <c r="B21" s="10" t="n">
        <v>15</v>
      </c>
      <c r="C21" s="11" t="inlineStr">
        <is>
          <t>BRA</t>
        </is>
      </c>
      <c r="D21" s="22" t="inlineStr">
        <is>
          <t>HAI</t>
        </is>
      </c>
      <c r="E21" s="18" t="n">
        <v>2</v>
      </c>
      <c r="F21" s="21" t="n">
        <v>0</v>
      </c>
      <c r="G21" s="18" t="n">
        <v>4</v>
      </c>
      <c r="H21" s="21" t="n">
        <v>1</v>
      </c>
      <c r="I21" s="26" t="n">
        <v>4</v>
      </c>
      <c r="J21" s="28" t="n">
        <v>0</v>
      </c>
      <c r="K21" s="24" t="n"/>
      <c r="L21" s="22" t="n"/>
      <c r="M21" s="33">
        <f>IF(OR($K21="",$L21="",$E21="",$F21=""),"",IF($E21=$F21,IF($K21=$L21,IF($E21=$K21,10,6),0),IF(OR($K21=$L21,SIGN($E21-$F21)&lt;&gt;SIGN($K21-$L21)),0,IF(AND($E21=$K21,$F21=$L21),10,IF(($E21-$F21)=($K21-$L21),6,IF(MAX($E21,$F21)=MAX($K21,$L21),5,IF(MIN($E21,$F21)=MIN($K21,$L21),4,3)))))))</f>
        <v/>
      </c>
      <c r="N21" s="34">
        <f>IF(OR($K21="",$L21="",$G21="",$H21=""),"",IF(AND($G21=$K21,$H21=$L21),5+IF(($K21+$L21)&gt;=6,2,IF(($K21+$L21)=5,1,0)),IF(AND($G21=$H21,$K21=$L21),3,IF(AND($G21&lt;&gt;$H21,$K21&lt;&gt;$L21,SIGN($G21-$H21)=SIGN($K21-$L21)),2,0))))</f>
        <v/>
      </c>
      <c r="O21" s="34">
        <f>IF(OR($K21="",$L21="",$I21="",$J21=""),"",IF(AND($I21=$K21,$J21=$L21),3,IF(SIGN($I21-$J21)=SIGN($K21-$L21),1,0)))</f>
        <v/>
      </c>
      <c r="P21" s="12" t="n"/>
    </row>
    <row r="22">
      <c r="A22" s="13" t="inlineStr">
        <is>
          <t>C</t>
        </is>
      </c>
      <c r="B22" s="13" t="n">
        <v>16</v>
      </c>
      <c r="C22" s="14" t="inlineStr">
        <is>
          <t>ESC</t>
        </is>
      </c>
      <c r="D22" s="23" t="inlineStr">
        <is>
          <t>MAR</t>
        </is>
      </c>
      <c r="E22" s="19" t="n">
        <v>0</v>
      </c>
      <c r="F22" s="20" t="n">
        <v>2</v>
      </c>
      <c r="G22" s="19" t="n">
        <v>0</v>
      </c>
      <c r="H22" s="20" t="n">
        <v>2</v>
      </c>
      <c r="I22" s="27" t="n">
        <v>0</v>
      </c>
      <c r="J22" s="29" t="n">
        <v>1</v>
      </c>
      <c r="K22" s="25" t="n"/>
      <c r="L22" s="23" t="n"/>
      <c r="M22" s="35">
        <f>IF(OR($K22="",$L22="",$E22="",$F22=""),"",IF($E22=$F22,IF($K22=$L22,IF($E22=$K22,10,6),0),IF(OR($K22=$L22,SIGN($E22-$F22)&lt;&gt;SIGN($K22-$L22)),0,IF(AND($E22=$K22,$F22=$L22),10,IF(($E22-$F22)=($K22-$L22),6,IF(MAX($E22,$F22)=MAX($K22,$L22),5,IF(MIN($E22,$F22)=MIN($K22,$L22),4,3)))))))</f>
        <v/>
      </c>
      <c r="N22" s="36">
        <f>IF(OR($K22="",$L22="",$G22="",$H22=""),"",IF(AND($G22=$K22,$H22=$L22),5+IF(($K22+$L22)&gt;=6,2,IF(($K22+$L22)=5,1,0)),IF(AND($G22=$H22,$K22=$L22),3,IF(AND($G22&lt;&gt;$H22,$K22&lt;&gt;$L22,SIGN($G22-$H22)=SIGN($K22-$L22)),2,0))))</f>
        <v/>
      </c>
      <c r="O22" s="36">
        <f>IF(OR($K22="",$L22="",$I22="",$J22=""),"",IF(AND($I22=$K22,$J22=$L22),3,IF(SIGN($I22-$J22)=SIGN($K22-$L22),1,0)))</f>
        <v/>
      </c>
      <c r="P22" s="15" t="n"/>
    </row>
    <row r="23">
      <c r="A23" s="10" t="inlineStr">
        <is>
          <t>C</t>
        </is>
      </c>
      <c r="B23" s="10" t="n">
        <v>17</v>
      </c>
      <c r="C23" s="11" t="inlineStr">
        <is>
          <t>ESC</t>
        </is>
      </c>
      <c r="D23" s="22" t="inlineStr">
        <is>
          <t>BRA</t>
        </is>
      </c>
      <c r="E23" s="18" t="n">
        <v>0</v>
      </c>
      <c r="F23" s="21" t="n">
        <v>2</v>
      </c>
      <c r="G23" s="18" t="n">
        <v>1</v>
      </c>
      <c r="H23" s="21" t="n">
        <v>4</v>
      </c>
      <c r="I23" s="26" t="n">
        <v>0</v>
      </c>
      <c r="J23" s="28" t="n">
        <v>2</v>
      </c>
      <c r="K23" s="24" t="n"/>
      <c r="L23" s="22" t="n"/>
      <c r="M23" s="33">
        <f>IF(OR($K23="",$L23="",$E23="",$F23=""),"",IF($E23=$F23,IF($K23=$L23,IF($E23=$K23,10,6),0),IF(OR($K23=$L23,SIGN($E23-$F23)&lt;&gt;SIGN($K23-$L23)),0,IF(AND($E23=$K23,$F23=$L23),10,IF(($E23-$F23)=($K23-$L23),6,IF(MAX($E23,$F23)=MAX($K23,$L23),5,IF(MIN($E23,$F23)=MIN($K23,$L23),4,3)))))))</f>
        <v/>
      </c>
      <c r="N23" s="34">
        <f>IF(OR($K23="",$L23="",$G23="",$H23=""),"",IF(AND($G23=$K23,$H23=$L23),5+IF(($K23+$L23)&gt;=6,2,IF(($K23+$L23)=5,1,0)),IF(AND($G23=$H23,$K23=$L23),3,IF(AND($G23&lt;&gt;$H23,$K23&lt;&gt;$L23,SIGN($G23-$H23)=SIGN($K23-$L23)),2,0))))</f>
        <v/>
      </c>
      <c r="O23" s="34">
        <f>IF(OR($K23="",$L23="",$I23="",$J23=""),"",IF(AND($I23=$K23,$J23=$L23),3,IF(SIGN($I23-$J23)=SIGN($K23-$L23),1,0)))</f>
        <v/>
      </c>
      <c r="P23" s="12" t="n"/>
    </row>
    <row r="24">
      <c r="A24" s="13" t="inlineStr">
        <is>
          <t>C</t>
        </is>
      </c>
      <c r="B24" s="13" t="n">
        <v>18</v>
      </c>
      <c r="C24" s="14" t="inlineStr">
        <is>
          <t>MAR</t>
        </is>
      </c>
      <c r="D24" s="23" t="inlineStr">
        <is>
          <t>HAI</t>
        </is>
      </c>
      <c r="E24" s="19" t="n">
        <v>2</v>
      </c>
      <c r="F24" s="20" t="n">
        <v>0</v>
      </c>
      <c r="G24" s="19" t="n">
        <v>4</v>
      </c>
      <c r="H24" s="20" t="n">
        <v>1</v>
      </c>
      <c r="I24" s="27" t="n">
        <v>2</v>
      </c>
      <c r="J24" s="29" t="n">
        <v>0</v>
      </c>
      <c r="K24" s="25" t="n"/>
      <c r="L24" s="23" t="n"/>
      <c r="M24" s="35">
        <f>IF(OR($K24="",$L24="",$E24="",$F24=""),"",IF($E24=$F24,IF($K24=$L24,IF($E24=$K24,10,6),0),IF(OR($K24=$L24,SIGN($E24-$F24)&lt;&gt;SIGN($K24-$L24)),0,IF(AND($E24=$K24,$F24=$L24),10,IF(($E24-$F24)=($K24-$L24),6,IF(MAX($E24,$F24)=MAX($K24,$L24),5,IF(MIN($E24,$F24)=MIN($K24,$L24),4,3)))))))</f>
        <v/>
      </c>
      <c r="N24" s="36">
        <f>IF(OR($K24="",$L24="",$G24="",$H24=""),"",IF(AND($G24=$K24,$H24=$L24),5+IF(($K24+$L24)&gt;=6,2,IF(($K24+$L24)=5,1,0)),IF(AND($G24=$H24,$K24=$L24),3,IF(AND($G24&lt;&gt;$H24,$K24&lt;&gt;$L24,SIGN($G24-$H24)=SIGN($K24-$L24)),2,0))))</f>
        <v/>
      </c>
      <c r="O24" s="36">
        <f>IF(OR($K24="",$L24="",$I24="",$J24=""),"",IF(AND($I24=$K24,$J24=$L24),3,IF(SIGN($I24-$J24)=SIGN($K24-$L24),1,0)))</f>
        <v/>
      </c>
      <c r="P24" s="15" t="n"/>
    </row>
    <row r="25" ht="18" customHeight="1">
      <c r="A25" s="3" t="inlineStr">
        <is>
          <t>Grupo D</t>
        </is>
      </c>
    </row>
    <row r="26">
      <c r="A26" s="10" t="inlineStr">
        <is>
          <t>D</t>
        </is>
      </c>
      <c r="B26" s="10" t="n">
        <v>19</v>
      </c>
      <c r="C26" s="11" t="inlineStr">
        <is>
          <t>EUA</t>
        </is>
      </c>
      <c r="D26" s="22" t="inlineStr">
        <is>
          <t>PAR</t>
        </is>
      </c>
      <c r="E26" s="18" t="n">
        <v>2</v>
      </c>
      <c r="F26" s="21" t="n">
        <v>1</v>
      </c>
      <c r="G26" s="18" t="n">
        <v>1</v>
      </c>
      <c r="H26" s="21" t="n">
        <v>2</v>
      </c>
      <c r="I26" s="26" t="n">
        <v>0</v>
      </c>
      <c r="J26" s="28" t="n">
        <v>0</v>
      </c>
      <c r="K26" s="24" t="n"/>
      <c r="L26" s="22" t="n"/>
      <c r="M26" s="33">
        <f>IF(OR($K26="",$L26="",$E26="",$F26=""),"",IF($E26=$F26,IF($K26=$L26,IF($E26=$K26,10,6),0),IF(OR($K26=$L26,SIGN($E26-$F26)&lt;&gt;SIGN($K26-$L26)),0,IF(AND($E26=$K26,$F26=$L26),10,IF(($E26-$F26)=($K26-$L26),6,IF(MAX($E26,$F26)=MAX($K26,$L26),5,IF(MIN($E26,$F26)=MIN($K26,$L26),4,3)))))))</f>
        <v/>
      </c>
      <c r="N26" s="34">
        <f>IF(OR($K26="",$L26="",$G26="",$H26=""),"",IF(AND($G26=$K26,$H26=$L26),5+IF(($K26+$L26)&gt;=6,2,IF(($K26+$L26)=5,1,0)),IF(AND($G26=$H26,$K26=$L26),3,IF(AND($G26&lt;&gt;$H26,$K26&lt;&gt;$L26,SIGN($G26-$H26)=SIGN($K26-$L26)),2,0))))</f>
        <v/>
      </c>
      <c r="O26" s="34">
        <f>IF(OR($K26="",$L26="",$I26="",$J26=""),"",IF(AND($I26=$K26,$J26=$L26),3,IF(SIGN($I26-$J26)=SIGN($K26-$L26),1,0)))</f>
        <v/>
      </c>
      <c r="P26" s="12" t="n"/>
    </row>
    <row r="27">
      <c r="A27" s="13" t="inlineStr">
        <is>
          <t>D</t>
        </is>
      </c>
      <c r="B27" s="13" t="n">
        <v>20</v>
      </c>
      <c r="C27" s="14" t="inlineStr">
        <is>
          <t>AUS</t>
        </is>
      </c>
      <c r="D27" s="23" t="inlineStr">
        <is>
          <t>TUR</t>
        </is>
      </c>
      <c r="E27" s="19" t="n">
        <v>2</v>
      </c>
      <c r="F27" s="20" t="n">
        <v>1</v>
      </c>
      <c r="G27" s="19" t="n">
        <v>2</v>
      </c>
      <c r="H27" s="20" t="n">
        <v>1</v>
      </c>
      <c r="I27" s="27" t="n">
        <v>1</v>
      </c>
      <c r="J27" s="29" t="n">
        <v>1</v>
      </c>
      <c r="K27" s="25" t="n"/>
      <c r="L27" s="23" t="n"/>
      <c r="M27" s="35">
        <f>IF(OR($K27="",$L27="",$E27="",$F27=""),"",IF($E27=$F27,IF($K27=$L27,IF($E27=$K27,10,6),0),IF(OR($K27=$L27,SIGN($E27-$F27)&lt;&gt;SIGN($K27-$L27)),0,IF(AND($E27=$K27,$F27=$L27),10,IF(($E27-$F27)=($K27-$L27),6,IF(MAX($E27,$F27)=MAX($K27,$L27),5,IF(MIN($E27,$F27)=MIN($K27,$L27),4,3)))))))</f>
        <v/>
      </c>
      <c r="N27" s="36">
        <f>IF(OR($K27="",$L27="",$G27="",$H27=""),"",IF(AND($G27=$K27,$H27=$L27),5+IF(($K27+$L27)&gt;=6,2,IF(($K27+$L27)=5,1,0)),IF(AND($G27=$H27,$K27=$L27),3,IF(AND($G27&lt;&gt;$H27,$K27&lt;&gt;$L27,SIGN($G27-$H27)=SIGN($K27-$L27)),2,0))))</f>
        <v/>
      </c>
      <c r="O27" s="36">
        <f>IF(OR($K27="",$L27="",$I27="",$J27=""),"",IF(AND($I27=$K27,$J27=$L27),3,IF(SIGN($I27-$J27)=SIGN($K27-$L27),1,0)))</f>
        <v/>
      </c>
      <c r="P27" s="15" t="n"/>
    </row>
    <row r="28">
      <c r="A28" s="10" t="inlineStr">
        <is>
          <t>D</t>
        </is>
      </c>
      <c r="B28" s="10" t="n">
        <v>21</v>
      </c>
      <c r="C28" s="11" t="inlineStr">
        <is>
          <t>TUR</t>
        </is>
      </c>
      <c r="D28" s="22" t="inlineStr">
        <is>
          <t>PAR</t>
        </is>
      </c>
      <c r="E28" s="18" t="n">
        <v>2</v>
      </c>
      <c r="F28" s="21" t="n">
        <v>1</v>
      </c>
      <c r="G28" s="18" t="n">
        <v>1</v>
      </c>
      <c r="H28" s="21" t="n">
        <v>2</v>
      </c>
      <c r="I28" s="26" t="n">
        <v>1</v>
      </c>
      <c r="J28" s="28" t="n">
        <v>1</v>
      </c>
      <c r="K28" s="24" t="n"/>
      <c r="L28" s="22" t="n"/>
      <c r="M28" s="33">
        <f>IF(OR($K28="",$L28="",$E28="",$F28=""),"",IF($E28=$F28,IF($K28=$L28,IF($E28=$K28,10,6),0),IF(OR($K28=$L28,SIGN($E28-$F28)&lt;&gt;SIGN($K28-$L28)),0,IF(AND($E28=$K28,$F28=$L28),10,IF(($E28-$F28)=($K28-$L28),6,IF(MAX($E28,$F28)=MAX($K28,$L28),5,IF(MIN($E28,$F28)=MIN($K28,$L28),4,3)))))))</f>
        <v/>
      </c>
      <c r="N28" s="34">
        <f>IF(OR($K28="",$L28="",$G28="",$H28=""),"",IF(AND($G28=$K28,$H28=$L28),5+IF(($K28+$L28)&gt;=6,2,IF(($K28+$L28)=5,1,0)),IF(AND($G28=$H28,$K28=$L28),3,IF(AND($G28&lt;&gt;$H28,$K28&lt;&gt;$L28,SIGN($G28-$H28)=SIGN($K28-$L28)),2,0))))</f>
        <v/>
      </c>
      <c r="O28" s="34">
        <f>IF(OR($K28="",$L28="",$I28="",$J28=""),"",IF(AND($I28=$K28,$J28=$L28),3,IF(SIGN($I28-$J28)=SIGN($K28-$L28),1,0)))</f>
        <v/>
      </c>
      <c r="P28" s="12" t="n"/>
    </row>
    <row r="29">
      <c r="A29" s="13" t="inlineStr">
        <is>
          <t>D</t>
        </is>
      </c>
      <c r="B29" s="13" t="n">
        <v>22</v>
      </c>
      <c r="C29" s="14" t="inlineStr">
        <is>
          <t>EUA</t>
        </is>
      </c>
      <c r="D29" s="23" t="inlineStr">
        <is>
          <t>AUS</t>
        </is>
      </c>
      <c r="E29" s="19" t="n">
        <v>1</v>
      </c>
      <c r="F29" s="20" t="n">
        <v>2</v>
      </c>
      <c r="G29" s="19" t="n">
        <v>1</v>
      </c>
      <c r="H29" s="20" t="n">
        <v>2</v>
      </c>
      <c r="I29" s="27" t="n">
        <v>0</v>
      </c>
      <c r="J29" s="29" t="n">
        <v>1</v>
      </c>
      <c r="K29" s="25" t="n"/>
      <c r="L29" s="23" t="n"/>
      <c r="M29" s="35">
        <f>IF(OR($K29="",$L29="",$E29="",$F29=""),"",IF($E29=$F29,IF($K29=$L29,IF($E29=$K29,10,6),0),IF(OR($K29=$L29,SIGN($E29-$F29)&lt;&gt;SIGN($K29-$L29)),0,IF(AND($E29=$K29,$F29=$L29),10,IF(($E29-$F29)=($K29-$L29),6,IF(MAX($E29,$F29)=MAX($K29,$L29),5,IF(MIN($E29,$F29)=MIN($K29,$L29),4,3)))))))</f>
        <v/>
      </c>
      <c r="N29" s="36">
        <f>IF(OR($K29="",$L29="",$G29="",$H29=""),"",IF(AND($G29=$K29,$H29=$L29),5+IF(($K29+$L29)&gt;=6,2,IF(($K29+$L29)=5,1,0)),IF(AND($G29=$H29,$K29=$L29),3,IF(AND($G29&lt;&gt;$H29,$K29&lt;&gt;$L29,SIGN($G29-$H29)=SIGN($K29-$L29)),2,0))))</f>
        <v/>
      </c>
      <c r="O29" s="36">
        <f>IF(OR($K29="",$L29="",$I29="",$J29=""),"",IF(AND($I29=$K29,$J29=$L29),3,IF(SIGN($I29-$J29)=SIGN($K29-$L29),1,0)))</f>
        <v/>
      </c>
      <c r="P29" s="15" t="n"/>
    </row>
    <row r="30">
      <c r="A30" s="10" t="inlineStr">
        <is>
          <t>D</t>
        </is>
      </c>
      <c r="B30" s="10" t="n">
        <v>23</v>
      </c>
      <c r="C30" s="11" t="inlineStr">
        <is>
          <t>TUR</t>
        </is>
      </c>
      <c r="D30" s="22" t="inlineStr">
        <is>
          <t>EUA</t>
        </is>
      </c>
      <c r="E30" s="18" t="n">
        <v>2</v>
      </c>
      <c r="F30" s="21" t="n">
        <v>1</v>
      </c>
      <c r="G30" s="18" t="n">
        <v>2</v>
      </c>
      <c r="H30" s="21" t="n">
        <v>1</v>
      </c>
      <c r="I30" s="26" t="n">
        <v>2</v>
      </c>
      <c r="J30" s="28" t="n">
        <v>1</v>
      </c>
      <c r="K30" s="24" t="n"/>
      <c r="L30" s="22" t="n"/>
      <c r="M30" s="33">
        <f>IF(OR($K30="",$L30="",$E30="",$F30=""),"",IF($E30=$F30,IF($K30=$L30,IF($E30=$K30,10,6),0),IF(OR($K30=$L30,SIGN($E30-$F30)&lt;&gt;SIGN($K30-$L30)),0,IF(AND($E30=$K30,$F30=$L30),10,IF(($E30-$F30)=($K30-$L30),6,IF(MAX($E30,$F30)=MAX($K30,$L30),5,IF(MIN($E30,$F30)=MIN($K30,$L30),4,3)))))))</f>
        <v/>
      </c>
      <c r="N30" s="34">
        <f>IF(OR($K30="",$L30="",$G30="",$H30=""),"",IF(AND($G30=$K30,$H30=$L30),5+IF(($K30+$L30)&gt;=6,2,IF(($K30+$L30)=5,1,0)),IF(AND($G30=$H30,$K30=$L30),3,IF(AND($G30&lt;&gt;$H30,$K30&lt;&gt;$L30,SIGN($G30-$H30)=SIGN($K30-$L30)),2,0))))</f>
        <v/>
      </c>
      <c r="O30" s="34">
        <f>IF(OR($K30="",$L30="",$I30="",$J30=""),"",IF(AND($I30=$K30,$J30=$L30),3,IF(SIGN($I30-$J30)=SIGN($K30-$L30),1,0)))</f>
        <v/>
      </c>
      <c r="P30" s="12" t="n"/>
    </row>
    <row r="31">
      <c r="A31" s="13" t="inlineStr">
        <is>
          <t>D</t>
        </is>
      </c>
      <c r="B31" s="13" t="n">
        <v>24</v>
      </c>
      <c r="C31" s="14" t="inlineStr">
        <is>
          <t>PAR</t>
        </is>
      </c>
      <c r="D31" s="23" t="inlineStr">
        <is>
          <t>AUS</t>
        </is>
      </c>
      <c r="E31" s="19" t="n">
        <v>1</v>
      </c>
      <c r="F31" s="20" t="n">
        <v>1</v>
      </c>
      <c r="G31" s="19" t="n">
        <v>1</v>
      </c>
      <c r="H31" s="20" t="n">
        <v>1</v>
      </c>
      <c r="I31" s="27" t="n">
        <v>0</v>
      </c>
      <c r="J31" s="29" t="n">
        <v>0</v>
      </c>
      <c r="K31" s="25" t="n"/>
      <c r="L31" s="23" t="n"/>
      <c r="M31" s="35">
        <f>IF(OR($K31="",$L31="",$E31="",$F31=""),"",IF($E31=$F31,IF($K31=$L31,IF($E31=$K31,10,6),0),IF(OR($K31=$L31,SIGN($E31-$F31)&lt;&gt;SIGN($K31-$L31)),0,IF(AND($E31=$K31,$F31=$L31),10,IF(($E31-$F31)=($K31-$L31),6,IF(MAX($E31,$F31)=MAX($K31,$L31),5,IF(MIN($E31,$F31)=MIN($K31,$L31),4,3)))))))</f>
        <v/>
      </c>
      <c r="N31" s="36">
        <f>IF(OR($K31="",$L31="",$G31="",$H31=""),"",IF(AND($G31=$K31,$H31=$L31),5+IF(($K31+$L31)&gt;=6,2,IF(($K31+$L31)=5,1,0)),IF(AND($G31=$H31,$K31=$L31),3,IF(AND($G31&lt;&gt;$H31,$K31&lt;&gt;$L31,SIGN($G31-$H31)=SIGN($K31-$L31)),2,0))))</f>
        <v/>
      </c>
      <c r="O31" s="36">
        <f>IF(OR($K31="",$L31="",$I31="",$J31=""),"",IF(AND($I31=$K31,$J31=$L31),3,IF(SIGN($I31-$J31)=SIGN($K31-$L31),1,0)))</f>
        <v/>
      </c>
      <c r="P31" s="15" t="n"/>
    </row>
    <row r="32" ht="18" customHeight="1">
      <c r="A32" s="3" t="inlineStr">
        <is>
          <t>Grupo E</t>
        </is>
      </c>
    </row>
    <row r="33">
      <c r="A33" s="10" t="inlineStr">
        <is>
          <t>E</t>
        </is>
      </c>
      <c r="B33" s="10" t="n">
        <v>25</v>
      </c>
      <c r="C33" s="11" t="inlineStr">
        <is>
          <t>CDM</t>
        </is>
      </c>
      <c r="D33" s="22" t="inlineStr">
        <is>
          <t>EQU</t>
        </is>
      </c>
      <c r="E33" s="18" t="n">
        <v>1</v>
      </c>
      <c r="F33" s="21" t="n">
        <v>1</v>
      </c>
      <c r="G33" s="18" t="n">
        <v>1</v>
      </c>
      <c r="H33" s="21" t="n">
        <v>1</v>
      </c>
      <c r="I33" s="26" t="n">
        <v>0</v>
      </c>
      <c r="J33" s="28" t="n">
        <v>0</v>
      </c>
      <c r="K33" s="24" t="n"/>
      <c r="L33" s="22" t="n"/>
      <c r="M33" s="33">
        <f>IF(OR($K33="",$L33="",$E33="",$F33=""),"",IF($E33=$F33,IF($K33=$L33,IF($E33=$K33,10,6),0),IF(OR($K33=$L33,SIGN($E33-$F33)&lt;&gt;SIGN($K33-$L33)),0,IF(AND($E33=$K33,$F33=$L33),10,IF(($E33-$F33)=($K33-$L33),6,IF(MAX($E33,$F33)=MAX($K33,$L33),5,IF(MIN($E33,$F33)=MIN($K33,$L33),4,3)))))))</f>
        <v/>
      </c>
      <c r="N33" s="34">
        <f>IF(OR($K33="",$L33="",$G33="",$H33=""),"",IF(AND($G33=$K33,$H33=$L33),5+IF(($K33+$L33)&gt;=6,2,IF(($K33+$L33)=5,1,0)),IF(AND($G33=$H33,$K33=$L33),3,IF(AND($G33&lt;&gt;$H33,$K33&lt;&gt;$L33,SIGN($G33-$H33)=SIGN($K33-$L33)),2,0))))</f>
        <v/>
      </c>
      <c r="O33" s="34">
        <f>IF(OR($K33="",$L33="",$I33="",$J33=""),"",IF(AND($I33=$K33,$J33=$L33),3,IF(SIGN($I33-$J33)=SIGN($K33-$L33),1,0)))</f>
        <v/>
      </c>
      <c r="P33" s="12" t="n"/>
    </row>
    <row r="34">
      <c r="A34" s="13" t="inlineStr">
        <is>
          <t>E</t>
        </is>
      </c>
      <c r="B34" s="13" t="n">
        <v>26</v>
      </c>
      <c r="C34" s="14" t="inlineStr">
        <is>
          <t>ALE</t>
        </is>
      </c>
      <c r="D34" s="23" t="inlineStr">
        <is>
          <t>CUR</t>
        </is>
      </c>
      <c r="E34" s="19" t="n">
        <v>2</v>
      </c>
      <c r="F34" s="20" t="n">
        <v>0</v>
      </c>
      <c r="G34" s="19" t="n">
        <v>4</v>
      </c>
      <c r="H34" s="20" t="n">
        <v>1</v>
      </c>
      <c r="I34" s="27" t="n">
        <v>3</v>
      </c>
      <c r="J34" s="29" t="n">
        <v>0</v>
      </c>
      <c r="K34" s="25" t="n"/>
      <c r="L34" s="23" t="n"/>
      <c r="M34" s="35">
        <f>IF(OR($K34="",$L34="",$E34="",$F34=""),"",IF($E34=$F34,IF($K34=$L34,IF($E34=$K34,10,6),0),IF(OR($K34=$L34,SIGN($E34-$F34)&lt;&gt;SIGN($K34-$L34)),0,IF(AND($E34=$K34,$F34=$L34),10,IF(($E34-$F34)=($K34-$L34),6,IF(MAX($E34,$F34)=MAX($K34,$L34),5,IF(MIN($E34,$F34)=MIN($K34,$L34),4,3)))))))</f>
        <v/>
      </c>
      <c r="N34" s="36">
        <f>IF(OR($K34="",$L34="",$G34="",$H34=""),"",IF(AND($G34=$K34,$H34=$L34),5+IF(($K34+$L34)&gt;=6,2,IF(($K34+$L34)=5,1,0)),IF(AND($G34=$H34,$K34=$L34),3,IF(AND($G34&lt;&gt;$H34,$K34&lt;&gt;$L34,SIGN($G34-$H34)=SIGN($K34-$L34)),2,0))))</f>
        <v/>
      </c>
      <c r="O34" s="36">
        <f>IF(OR($K34="",$L34="",$I34="",$J34=""),"",IF(AND($I34=$K34,$J34=$L34),3,IF(SIGN($I34-$J34)=SIGN($K34-$L34),1,0)))</f>
        <v/>
      </c>
      <c r="P34" s="15" t="n"/>
    </row>
    <row r="35">
      <c r="A35" s="10" t="inlineStr">
        <is>
          <t>E</t>
        </is>
      </c>
      <c r="B35" s="10" t="n">
        <v>27</v>
      </c>
      <c r="C35" s="11" t="inlineStr">
        <is>
          <t>ALE</t>
        </is>
      </c>
      <c r="D35" s="22" t="inlineStr">
        <is>
          <t>CDM</t>
        </is>
      </c>
      <c r="E35" s="18" t="n">
        <v>2</v>
      </c>
      <c r="F35" s="21" t="n">
        <v>0</v>
      </c>
      <c r="G35" s="18" t="n">
        <v>2</v>
      </c>
      <c r="H35" s="21" t="n">
        <v>0</v>
      </c>
      <c r="I35" s="26" t="n">
        <v>1</v>
      </c>
      <c r="J35" s="28" t="n">
        <v>0</v>
      </c>
      <c r="K35" s="24" t="n"/>
      <c r="L35" s="22" t="n"/>
      <c r="M35" s="33">
        <f>IF(OR($K35="",$L35="",$E35="",$F35=""),"",IF($E35=$F35,IF($K35=$L35,IF($E35=$K35,10,6),0),IF(OR($K35=$L35,SIGN($E35-$F35)&lt;&gt;SIGN($K35-$L35)),0,IF(AND($E35=$K35,$F35=$L35),10,IF(($E35-$F35)=($K35-$L35),6,IF(MAX($E35,$F35)=MAX($K35,$L35),5,IF(MIN($E35,$F35)=MIN($K35,$L35),4,3)))))))</f>
        <v/>
      </c>
      <c r="N35" s="34">
        <f>IF(OR($K35="",$L35="",$G35="",$H35=""),"",IF(AND($G35=$K35,$H35=$L35),5+IF(($K35+$L35)&gt;=6,2,IF(($K35+$L35)=5,1,0)),IF(AND($G35=$H35,$K35=$L35),3,IF(AND($G35&lt;&gt;$H35,$K35&lt;&gt;$L35,SIGN($G35-$H35)=SIGN($K35-$L35)),2,0))))</f>
        <v/>
      </c>
      <c r="O35" s="34">
        <f>IF(OR($K35="",$L35="",$I35="",$J35=""),"",IF(AND($I35=$K35,$J35=$L35),3,IF(SIGN($I35-$J35)=SIGN($K35-$L35),1,0)))</f>
        <v/>
      </c>
      <c r="P35" s="12" t="n"/>
    </row>
    <row r="36">
      <c r="A36" s="13" t="inlineStr">
        <is>
          <t>E</t>
        </is>
      </c>
      <c r="B36" s="13" t="n">
        <v>28</v>
      </c>
      <c r="C36" s="14" t="inlineStr">
        <is>
          <t>EQU</t>
        </is>
      </c>
      <c r="D36" s="23" t="inlineStr">
        <is>
          <t>CUR</t>
        </is>
      </c>
      <c r="E36" s="19" t="n">
        <v>2</v>
      </c>
      <c r="F36" s="20" t="n">
        <v>0</v>
      </c>
      <c r="G36" s="19" t="n">
        <v>4</v>
      </c>
      <c r="H36" s="20" t="n">
        <v>1</v>
      </c>
      <c r="I36" s="27" t="n">
        <v>2</v>
      </c>
      <c r="J36" s="29" t="n">
        <v>0</v>
      </c>
      <c r="K36" s="25" t="n"/>
      <c r="L36" s="23" t="n"/>
      <c r="M36" s="35">
        <f>IF(OR($K36="",$L36="",$E36="",$F36=""),"",IF($E36=$F36,IF($K36=$L36,IF($E36=$K36,10,6),0),IF(OR($K36=$L36,SIGN($E36-$F36)&lt;&gt;SIGN($K36-$L36)),0,IF(AND($E36=$K36,$F36=$L36),10,IF(($E36-$F36)=($K36-$L36),6,IF(MAX($E36,$F36)=MAX($K36,$L36),5,IF(MIN($E36,$F36)=MIN($K36,$L36),4,3)))))))</f>
        <v/>
      </c>
      <c r="N36" s="36">
        <f>IF(OR($K36="",$L36="",$G36="",$H36=""),"",IF(AND($G36=$K36,$H36=$L36),5+IF(($K36+$L36)&gt;=6,2,IF(($K36+$L36)=5,1,0)),IF(AND($G36=$H36,$K36=$L36),3,IF(AND($G36&lt;&gt;$H36,$K36&lt;&gt;$L36,SIGN($G36-$H36)=SIGN($K36-$L36)),2,0))))</f>
        <v/>
      </c>
      <c r="O36" s="36">
        <f>IF(OR($K36="",$L36="",$I36="",$J36=""),"",IF(AND($I36=$K36,$J36=$L36),3,IF(SIGN($I36-$J36)=SIGN($K36-$L36),1,0)))</f>
        <v/>
      </c>
      <c r="P36" s="15" t="n"/>
    </row>
    <row r="37">
      <c r="A37" s="10" t="inlineStr">
        <is>
          <t>E</t>
        </is>
      </c>
      <c r="B37" s="10" t="n">
        <v>29</v>
      </c>
      <c r="C37" s="11" t="inlineStr">
        <is>
          <t>CUR</t>
        </is>
      </c>
      <c r="D37" s="22" t="inlineStr">
        <is>
          <t>CDM</t>
        </is>
      </c>
      <c r="E37" s="18" t="n">
        <v>0</v>
      </c>
      <c r="F37" s="21" t="n">
        <v>2</v>
      </c>
      <c r="G37" s="18" t="n">
        <v>1</v>
      </c>
      <c r="H37" s="21" t="n">
        <v>4</v>
      </c>
      <c r="I37" s="26" t="n">
        <v>0</v>
      </c>
      <c r="J37" s="28" t="n">
        <v>2</v>
      </c>
      <c r="K37" s="24" t="n"/>
      <c r="L37" s="22" t="n"/>
      <c r="M37" s="33">
        <f>IF(OR($K37="",$L37="",$E37="",$F37=""),"",IF($E37=$F37,IF($K37=$L37,IF($E37=$K37,10,6),0),IF(OR($K37=$L37,SIGN($E37-$F37)&lt;&gt;SIGN($K37-$L37)),0,IF(AND($E37=$K37,$F37=$L37),10,IF(($E37-$F37)=($K37-$L37),6,IF(MAX($E37,$F37)=MAX($K37,$L37),5,IF(MIN($E37,$F37)=MIN($K37,$L37),4,3)))))))</f>
        <v/>
      </c>
      <c r="N37" s="34">
        <f>IF(OR($K37="",$L37="",$G37="",$H37=""),"",IF(AND($G37=$K37,$H37=$L37),5+IF(($K37+$L37)&gt;=6,2,IF(($K37+$L37)=5,1,0)),IF(AND($G37=$H37,$K37=$L37),3,IF(AND($G37&lt;&gt;$H37,$K37&lt;&gt;$L37,SIGN($G37-$H37)=SIGN($K37-$L37)),2,0))))</f>
        <v/>
      </c>
      <c r="O37" s="34">
        <f>IF(OR($K37="",$L37="",$I37="",$J37=""),"",IF(AND($I37=$K37,$J37=$L37),3,IF(SIGN($I37-$J37)=SIGN($K37-$L37),1,0)))</f>
        <v/>
      </c>
      <c r="P37" s="12" t="n"/>
    </row>
    <row r="38">
      <c r="A38" s="13" t="inlineStr">
        <is>
          <t>E</t>
        </is>
      </c>
      <c r="B38" s="13" t="n">
        <v>30</v>
      </c>
      <c r="C38" s="14" t="inlineStr">
        <is>
          <t>EQU</t>
        </is>
      </c>
      <c r="D38" s="23" t="inlineStr">
        <is>
          <t>ALE</t>
        </is>
      </c>
      <c r="E38" s="19" t="n">
        <v>2</v>
      </c>
      <c r="F38" s="20" t="n">
        <v>1</v>
      </c>
      <c r="G38" s="19" t="n">
        <v>2</v>
      </c>
      <c r="H38" s="20" t="n">
        <v>1</v>
      </c>
      <c r="I38" s="27" t="n">
        <v>0</v>
      </c>
      <c r="J38" s="29" t="n">
        <v>0</v>
      </c>
      <c r="K38" s="25" t="n"/>
      <c r="L38" s="23" t="n"/>
      <c r="M38" s="35">
        <f>IF(OR($K38="",$L38="",$E38="",$F38=""),"",IF($E38=$F38,IF($K38=$L38,IF($E38=$K38,10,6),0),IF(OR($K38=$L38,SIGN($E38-$F38)&lt;&gt;SIGN($K38-$L38)),0,IF(AND($E38=$K38,$F38=$L38),10,IF(($E38-$F38)=($K38-$L38),6,IF(MAX($E38,$F38)=MAX($K38,$L38),5,IF(MIN($E38,$F38)=MIN($K38,$L38),4,3)))))))</f>
        <v/>
      </c>
      <c r="N38" s="36">
        <f>IF(OR($K38="",$L38="",$G38="",$H38=""),"",IF(AND($G38=$K38,$H38=$L38),5+IF(($K38+$L38)&gt;=6,2,IF(($K38+$L38)=5,1,0)),IF(AND($G38=$H38,$K38=$L38),3,IF(AND($G38&lt;&gt;$H38,$K38&lt;&gt;$L38,SIGN($G38-$H38)=SIGN($K38-$L38)),2,0))))</f>
        <v/>
      </c>
      <c r="O38" s="36">
        <f>IF(OR($K38="",$L38="",$I38="",$J38=""),"",IF(AND($I38=$K38,$J38=$L38),3,IF(SIGN($I38-$J38)=SIGN($K38-$L38),1,0)))</f>
        <v/>
      </c>
      <c r="P38" s="15" t="n"/>
    </row>
    <row r="39" ht="18" customHeight="1">
      <c r="A39" s="3" t="inlineStr">
        <is>
          <t>Grupo F</t>
        </is>
      </c>
    </row>
    <row r="40">
      <c r="A40" s="10" t="inlineStr">
        <is>
          <t>F</t>
        </is>
      </c>
      <c r="B40" s="10" t="n">
        <v>31</v>
      </c>
      <c r="C40" s="11" t="inlineStr">
        <is>
          <t>HOL</t>
        </is>
      </c>
      <c r="D40" s="22" t="inlineStr">
        <is>
          <t>JAP</t>
        </is>
      </c>
      <c r="E40" s="18" t="n">
        <v>1</v>
      </c>
      <c r="F40" s="21" t="n">
        <v>2</v>
      </c>
      <c r="G40" s="18" t="n">
        <v>1</v>
      </c>
      <c r="H40" s="21" t="n">
        <v>2</v>
      </c>
      <c r="I40" s="26" t="n">
        <v>1</v>
      </c>
      <c r="J40" s="28" t="n">
        <v>1</v>
      </c>
      <c r="K40" s="24" t="n"/>
      <c r="L40" s="22" t="n"/>
      <c r="M40" s="33">
        <f>IF(OR($K40="",$L40="",$E40="",$F40=""),"",IF($E40=$F40,IF($K40=$L40,IF($E40=$K40,10,6),0),IF(OR($K40=$L40,SIGN($E40-$F40)&lt;&gt;SIGN($K40-$L40)),0,IF(AND($E40=$K40,$F40=$L40),10,IF(($E40-$F40)=($K40-$L40),6,IF(MAX($E40,$F40)=MAX($K40,$L40),5,IF(MIN($E40,$F40)=MIN($K40,$L40),4,3)))))))</f>
        <v/>
      </c>
      <c r="N40" s="34">
        <f>IF(OR($K40="",$L40="",$G40="",$H40=""),"",IF(AND($G40=$K40,$H40=$L40),5+IF(($K40+$L40)&gt;=6,2,IF(($K40+$L40)=5,1,0)),IF(AND($G40=$H40,$K40=$L40),3,IF(AND($G40&lt;&gt;$H40,$K40&lt;&gt;$L40,SIGN($G40-$H40)=SIGN($K40-$L40)),2,0))))</f>
        <v/>
      </c>
      <c r="O40" s="34">
        <f>IF(OR($K40="",$L40="",$I40="",$J40=""),"",IF(AND($I40=$K40,$J40=$L40),3,IF(SIGN($I40-$J40)=SIGN($K40-$L40),1,0)))</f>
        <v/>
      </c>
      <c r="P40" s="12" t="n"/>
    </row>
    <row r="41">
      <c r="A41" s="13" t="inlineStr">
        <is>
          <t>F</t>
        </is>
      </c>
      <c r="B41" s="13" t="n">
        <v>32</v>
      </c>
      <c r="C41" s="14" t="inlineStr">
        <is>
          <t>SUE</t>
        </is>
      </c>
      <c r="D41" s="23" t="inlineStr">
        <is>
          <t>TUN</t>
        </is>
      </c>
      <c r="E41" s="19" t="n">
        <v>1</v>
      </c>
      <c r="F41" s="20" t="n">
        <v>2</v>
      </c>
      <c r="G41" s="19" t="n">
        <v>1</v>
      </c>
      <c r="H41" s="20" t="n">
        <v>2</v>
      </c>
      <c r="I41" s="27" t="n">
        <v>1</v>
      </c>
      <c r="J41" s="29" t="n">
        <v>1</v>
      </c>
      <c r="K41" s="25" t="n"/>
      <c r="L41" s="23" t="n"/>
      <c r="M41" s="35">
        <f>IF(OR($K41="",$L41="",$E41="",$F41=""),"",IF($E41=$F41,IF($K41=$L41,IF($E41=$K41,10,6),0),IF(OR($K41=$L41,SIGN($E41-$F41)&lt;&gt;SIGN($K41-$L41)),0,IF(AND($E41=$K41,$F41=$L41),10,IF(($E41-$F41)=($K41-$L41),6,IF(MAX($E41,$F41)=MAX($K41,$L41),5,IF(MIN($E41,$F41)=MIN($K41,$L41),4,3)))))))</f>
        <v/>
      </c>
      <c r="N41" s="36">
        <f>IF(OR($K41="",$L41="",$G41="",$H41=""),"",IF(AND($G41=$K41,$H41=$L41),5+IF(($K41+$L41)&gt;=6,2,IF(($K41+$L41)=5,1,0)),IF(AND($G41=$H41,$K41=$L41),3,IF(AND($G41&lt;&gt;$H41,$K41&lt;&gt;$L41,SIGN($G41-$H41)=SIGN($K41-$L41)),2,0))))</f>
        <v/>
      </c>
      <c r="O41" s="36">
        <f>IF(OR($K41="",$L41="",$I41="",$J41=""),"",IF(AND($I41=$K41,$J41=$L41),3,IF(SIGN($I41-$J41)=SIGN($K41-$L41),1,0)))</f>
        <v/>
      </c>
      <c r="P41" s="15" t="n"/>
    </row>
    <row r="42">
      <c r="A42" s="10" t="inlineStr">
        <is>
          <t>F</t>
        </is>
      </c>
      <c r="B42" s="10" t="n">
        <v>33</v>
      </c>
      <c r="C42" s="11" t="inlineStr">
        <is>
          <t>HOL</t>
        </is>
      </c>
      <c r="D42" s="22" t="inlineStr">
        <is>
          <t>SUE</t>
        </is>
      </c>
      <c r="E42" s="18" t="n">
        <v>2</v>
      </c>
      <c r="F42" s="21" t="n">
        <v>0</v>
      </c>
      <c r="G42" s="18" t="n">
        <v>2</v>
      </c>
      <c r="H42" s="21" t="n">
        <v>0</v>
      </c>
      <c r="I42" s="26" t="n">
        <v>2</v>
      </c>
      <c r="J42" s="28" t="n">
        <v>1</v>
      </c>
      <c r="K42" s="24" t="n"/>
      <c r="L42" s="22" t="n"/>
      <c r="M42" s="33">
        <f>IF(OR($K42="",$L42="",$E42="",$F42=""),"",IF($E42=$F42,IF($K42=$L42,IF($E42=$K42,10,6),0),IF(OR($K42=$L42,SIGN($E42-$F42)&lt;&gt;SIGN($K42-$L42)),0,IF(AND($E42=$K42,$F42=$L42),10,IF(($E42-$F42)=($K42-$L42),6,IF(MAX($E42,$F42)=MAX($K42,$L42),5,IF(MIN($E42,$F42)=MIN($K42,$L42),4,3)))))))</f>
        <v/>
      </c>
      <c r="N42" s="34">
        <f>IF(OR($K42="",$L42="",$G42="",$H42=""),"",IF(AND($G42=$K42,$H42=$L42),5+IF(($K42+$L42)&gt;=6,2,IF(($K42+$L42)=5,1,0)),IF(AND($G42=$H42,$K42=$L42),3,IF(AND($G42&lt;&gt;$H42,$K42&lt;&gt;$L42,SIGN($G42-$H42)=SIGN($K42-$L42)),2,0))))</f>
        <v/>
      </c>
      <c r="O42" s="34">
        <f>IF(OR($K42="",$L42="",$I42="",$J42=""),"",IF(AND($I42=$K42,$J42=$L42),3,IF(SIGN($I42-$J42)=SIGN($K42-$L42),1,0)))</f>
        <v/>
      </c>
      <c r="P42" s="12" t="n"/>
    </row>
    <row r="43">
      <c r="A43" s="13" t="inlineStr">
        <is>
          <t>F</t>
        </is>
      </c>
      <c r="B43" s="13" t="n">
        <v>34</v>
      </c>
      <c r="C43" s="14" t="inlineStr">
        <is>
          <t>TUN</t>
        </is>
      </c>
      <c r="D43" s="23" t="inlineStr">
        <is>
          <t>JAP</t>
        </is>
      </c>
      <c r="E43" s="19" t="n">
        <v>2</v>
      </c>
      <c r="F43" s="20" t="n">
        <v>0</v>
      </c>
      <c r="G43" s="19" t="n">
        <v>2</v>
      </c>
      <c r="H43" s="20" t="n">
        <v>0</v>
      </c>
      <c r="I43" s="27" t="n">
        <v>0</v>
      </c>
      <c r="J43" s="29" t="n">
        <v>1</v>
      </c>
      <c r="K43" s="25" t="n"/>
      <c r="L43" s="23" t="n"/>
      <c r="M43" s="35">
        <f>IF(OR($K43="",$L43="",$E43="",$F43=""),"",IF($E43=$F43,IF($K43=$L43,IF($E43=$K43,10,6),0),IF(OR($K43=$L43,SIGN($E43-$F43)&lt;&gt;SIGN($K43-$L43)),0,IF(AND($E43=$K43,$F43=$L43),10,IF(($E43-$F43)=($K43-$L43),6,IF(MAX($E43,$F43)=MAX($K43,$L43),5,IF(MIN($E43,$F43)=MIN($K43,$L43),4,3)))))))</f>
        <v/>
      </c>
      <c r="N43" s="36">
        <f>IF(OR($K43="",$L43="",$G43="",$H43=""),"",IF(AND($G43=$K43,$H43=$L43),5+IF(($K43+$L43)&gt;=6,2,IF(($K43+$L43)=5,1,0)),IF(AND($G43=$H43,$K43=$L43),3,IF(AND($G43&lt;&gt;$H43,$K43&lt;&gt;$L43,SIGN($G43-$H43)=SIGN($K43-$L43)),2,0))))</f>
        <v/>
      </c>
      <c r="O43" s="36">
        <f>IF(OR($K43="",$L43="",$I43="",$J43=""),"",IF(AND($I43=$K43,$J43=$L43),3,IF(SIGN($I43-$J43)=SIGN($K43-$L43),1,0)))</f>
        <v/>
      </c>
      <c r="P43" s="15" t="n"/>
    </row>
    <row r="44">
      <c r="A44" s="10" t="inlineStr">
        <is>
          <t>F</t>
        </is>
      </c>
      <c r="B44" s="10" t="n">
        <v>35</v>
      </c>
      <c r="C44" s="11" t="inlineStr">
        <is>
          <t>JAP</t>
        </is>
      </c>
      <c r="D44" s="22" t="inlineStr">
        <is>
          <t>SUE</t>
        </is>
      </c>
      <c r="E44" s="18" t="n">
        <v>2</v>
      </c>
      <c r="F44" s="21" t="n">
        <v>0</v>
      </c>
      <c r="G44" s="18" t="n">
        <v>2</v>
      </c>
      <c r="H44" s="21" t="n">
        <v>0</v>
      </c>
      <c r="I44" s="26" t="n">
        <v>2</v>
      </c>
      <c r="J44" s="28" t="n">
        <v>0</v>
      </c>
      <c r="K44" s="24" t="n"/>
      <c r="L44" s="22" t="n"/>
      <c r="M44" s="33">
        <f>IF(OR($K44="",$L44="",$E44="",$F44=""),"",IF($E44=$F44,IF($K44=$L44,IF($E44=$K44,10,6),0),IF(OR($K44=$L44,SIGN($E44-$F44)&lt;&gt;SIGN($K44-$L44)),0,IF(AND($E44=$K44,$F44=$L44),10,IF(($E44-$F44)=($K44-$L44),6,IF(MAX($E44,$F44)=MAX($K44,$L44),5,IF(MIN($E44,$F44)=MIN($K44,$L44),4,3)))))))</f>
        <v/>
      </c>
      <c r="N44" s="34">
        <f>IF(OR($K44="",$L44="",$G44="",$H44=""),"",IF(AND($G44=$K44,$H44=$L44),5+IF(($K44+$L44)&gt;=6,2,IF(($K44+$L44)=5,1,0)),IF(AND($G44=$H44,$K44=$L44),3,IF(AND($G44&lt;&gt;$H44,$K44&lt;&gt;$L44,SIGN($G44-$H44)=SIGN($K44-$L44)),2,0))))</f>
        <v/>
      </c>
      <c r="O44" s="34">
        <f>IF(OR($K44="",$L44="",$I44="",$J44=""),"",IF(AND($I44=$K44,$J44=$L44),3,IF(SIGN($I44-$J44)=SIGN($K44-$L44),1,0)))</f>
        <v/>
      </c>
      <c r="P44" s="12" t="n"/>
    </row>
    <row r="45">
      <c r="A45" s="13" t="inlineStr">
        <is>
          <t>F</t>
        </is>
      </c>
      <c r="B45" s="13" t="n">
        <v>36</v>
      </c>
      <c r="C45" s="14" t="inlineStr">
        <is>
          <t>TUN</t>
        </is>
      </c>
      <c r="D45" s="23" t="inlineStr">
        <is>
          <t>HOL</t>
        </is>
      </c>
      <c r="E45" s="19" t="n">
        <v>0</v>
      </c>
      <c r="F45" s="20" t="n">
        <v>2</v>
      </c>
      <c r="G45" s="19" t="n">
        <v>0</v>
      </c>
      <c r="H45" s="20" t="n">
        <v>2</v>
      </c>
      <c r="I45" s="27" t="n">
        <v>0</v>
      </c>
      <c r="J45" s="29" t="n">
        <v>1</v>
      </c>
      <c r="K45" s="25" t="n"/>
      <c r="L45" s="23" t="n"/>
      <c r="M45" s="35">
        <f>IF(OR($K45="",$L45="",$E45="",$F45=""),"",IF($E45=$F45,IF($K45=$L45,IF($E45=$K45,10,6),0),IF(OR($K45=$L45,SIGN($E45-$F45)&lt;&gt;SIGN($K45-$L45)),0,IF(AND($E45=$K45,$F45=$L45),10,IF(($E45-$F45)=($K45-$L45),6,IF(MAX($E45,$F45)=MAX($K45,$L45),5,IF(MIN($E45,$F45)=MIN($K45,$L45),4,3)))))))</f>
        <v/>
      </c>
      <c r="N45" s="36">
        <f>IF(OR($K45="",$L45="",$G45="",$H45=""),"",IF(AND($G45=$K45,$H45=$L45),5+IF(($K45+$L45)&gt;=6,2,IF(($K45+$L45)=5,1,0)),IF(AND($G45=$H45,$K45=$L45),3,IF(AND($G45&lt;&gt;$H45,$K45&lt;&gt;$L45,SIGN($G45-$H45)=SIGN($K45-$L45)),2,0))))</f>
        <v/>
      </c>
      <c r="O45" s="36">
        <f>IF(OR($K45="",$L45="",$I45="",$J45=""),"",IF(AND($I45=$K45,$J45=$L45),3,IF(SIGN($I45-$J45)=SIGN($K45-$L45),1,0)))</f>
        <v/>
      </c>
      <c r="P45" s="15" t="n"/>
    </row>
    <row r="46" ht="18" customHeight="1">
      <c r="A46" s="3" t="inlineStr">
        <is>
          <t>Grupo G</t>
        </is>
      </c>
    </row>
    <row r="47">
      <c r="A47" s="10" t="inlineStr">
        <is>
          <t>G</t>
        </is>
      </c>
      <c r="B47" s="10" t="n">
        <v>37</v>
      </c>
      <c r="C47" s="11" t="inlineStr">
        <is>
          <t>IRA</t>
        </is>
      </c>
      <c r="D47" s="22" t="inlineStr">
        <is>
          <t>NZL</t>
        </is>
      </c>
      <c r="E47" s="18" t="n">
        <v>2</v>
      </c>
      <c r="F47" s="21" t="n">
        <v>0</v>
      </c>
      <c r="G47" s="18" t="n">
        <v>2</v>
      </c>
      <c r="H47" s="21" t="n">
        <v>0</v>
      </c>
      <c r="I47" s="26" t="n">
        <v>1</v>
      </c>
      <c r="J47" s="28" t="n">
        <v>0</v>
      </c>
      <c r="K47" s="24" t="n"/>
      <c r="L47" s="22" t="n"/>
      <c r="M47" s="33">
        <f>IF(OR($K47="",$L47="",$E47="",$F47=""),"",IF($E47=$F47,IF($K47=$L47,IF($E47=$K47,10,6),0),IF(OR($K47=$L47,SIGN($E47-$F47)&lt;&gt;SIGN($K47-$L47)),0,IF(AND($E47=$K47,$F47=$L47),10,IF(($E47-$F47)=($K47-$L47),6,IF(MAX($E47,$F47)=MAX($K47,$L47),5,IF(MIN($E47,$F47)=MIN($K47,$L47),4,3)))))))</f>
        <v/>
      </c>
      <c r="N47" s="34">
        <f>IF(OR($K47="",$L47="",$G47="",$H47=""),"",IF(AND($G47=$K47,$H47=$L47),5+IF(($K47+$L47)&gt;=6,2,IF(($K47+$L47)=5,1,0)),IF(AND($G47=$H47,$K47=$L47),3,IF(AND($G47&lt;&gt;$H47,$K47&lt;&gt;$L47,SIGN($G47-$H47)=SIGN($K47-$L47)),2,0))))</f>
        <v/>
      </c>
      <c r="O47" s="34">
        <f>IF(OR($K47="",$L47="",$I47="",$J47=""),"",IF(AND($I47=$K47,$J47=$L47),3,IF(SIGN($I47-$J47)=SIGN($K47-$L47),1,0)))</f>
        <v/>
      </c>
      <c r="P47" s="12" t="n"/>
    </row>
    <row r="48">
      <c r="A48" s="13" t="inlineStr">
        <is>
          <t>G</t>
        </is>
      </c>
      <c r="B48" s="13" t="n">
        <v>38</v>
      </c>
      <c r="C48" s="14" t="inlineStr">
        <is>
          <t>BEL</t>
        </is>
      </c>
      <c r="D48" s="23" t="inlineStr">
        <is>
          <t>EGT</t>
        </is>
      </c>
      <c r="E48" s="19" t="n">
        <v>2</v>
      </c>
      <c r="F48" s="20" t="n">
        <v>0</v>
      </c>
      <c r="G48" s="19" t="n">
        <v>2</v>
      </c>
      <c r="H48" s="20" t="n">
        <v>0</v>
      </c>
      <c r="I48" s="27" t="n">
        <v>1</v>
      </c>
      <c r="J48" s="29" t="n">
        <v>0</v>
      </c>
      <c r="K48" s="25" t="n"/>
      <c r="L48" s="23" t="n"/>
      <c r="M48" s="35">
        <f>IF(OR($K48="",$L48="",$E48="",$F48=""),"",IF($E48=$F48,IF($K48=$L48,IF($E48=$K48,10,6),0),IF(OR($K48=$L48,SIGN($E48-$F48)&lt;&gt;SIGN($K48-$L48)),0,IF(AND($E48=$K48,$F48=$L48),10,IF(($E48-$F48)=($K48-$L48),6,IF(MAX($E48,$F48)=MAX($K48,$L48),5,IF(MIN($E48,$F48)=MIN($K48,$L48),4,3)))))))</f>
        <v/>
      </c>
      <c r="N48" s="36">
        <f>IF(OR($K48="",$L48="",$G48="",$H48=""),"",IF(AND($G48=$K48,$H48=$L48),5+IF(($K48+$L48)&gt;=6,2,IF(($K48+$L48)=5,1,0)),IF(AND($G48=$H48,$K48=$L48),3,IF(AND($G48&lt;&gt;$H48,$K48&lt;&gt;$L48,SIGN($G48-$H48)=SIGN($K48-$L48)),2,0))))</f>
        <v/>
      </c>
      <c r="O48" s="36">
        <f>IF(OR($K48="",$L48="",$I48="",$J48=""),"",IF(AND($I48=$K48,$J48=$L48),3,IF(SIGN($I48-$J48)=SIGN($K48-$L48),1,0)))</f>
        <v/>
      </c>
      <c r="P48" s="15" t="n"/>
    </row>
    <row r="49">
      <c r="A49" s="10" t="inlineStr">
        <is>
          <t>G</t>
        </is>
      </c>
      <c r="B49" s="10" t="n">
        <v>39</v>
      </c>
      <c r="C49" s="11" t="inlineStr">
        <is>
          <t>BEL</t>
        </is>
      </c>
      <c r="D49" s="22" t="inlineStr">
        <is>
          <t>IRA</t>
        </is>
      </c>
      <c r="E49" s="18" t="n">
        <v>2</v>
      </c>
      <c r="F49" s="21" t="n">
        <v>0</v>
      </c>
      <c r="G49" s="18" t="n">
        <v>2</v>
      </c>
      <c r="H49" s="21" t="n">
        <v>0</v>
      </c>
      <c r="I49" s="26" t="n">
        <v>1</v>
      </c>
      <c r="J49" s="28" t="n">
        <v>0</v>
      </c>
      <c r="K49" s="24" t="n"/>
      <c r="L49" s="22" t="n"/>
      <c r="M49" s="33">
        <f>IF(OR($K49="",$L49="",$E49="",$F49=""),"",IF($E49=$F49,IF($K49=$L49,IF($E49=$K49,10,6),0),IF(OR($K49=$L49,SIGN($E49-$F49)&lt;&gt;SIGN($K49-$L49)),0,IF(AND($E49=$K49,$F49=$L49),10,IF(($E49-$F49)=($K49-$L49),6,IF(MAX($E49,$F49)=MAX($K49,$L49),5,IF(MIN($E49,$F49)=MIN($K49,$L49),4,3)))))))</f>
        <v/>
      </c>
      <c r="N49" s="34">
        <f>IF(OR($K49="",$L49="",$G49="",$H49=""),"",IF(AND($G49=$K49,$H49=$L49),5+IF(($K49+$L49)&gt;=6,2,IF(($K49+$L49)=5,1,0)),IF(AND($G49=$H49,$K49=$L49),3,IF(AND($G49&lt;&gt;$H49,$K49&lt;&gt;$L49,SIGN($G49-$H49)=SIGN($K49-$L49)),2,0))))</f>
        <v/>
      </c>
      <c r="O49" s="34">
        <f>IF(OR($K49="",$L49="",$I49="",$J49=""),"",IF(AND($I49=$K49,$J49=$L49),3,IF(SIGN($I49-$J49)=SIGN($K49-$L49),1,0)))</f>
        <v/>
      </c>
      <c r="P49" s="12" t="n"/>
    </row>
    <row r="50">
      <c r="A50" s="13" t="inlineStr">
        <is>
          <t>G</t>
        </is>
      </c>
      <c r="B50" s="13" t="n">
        <v>40</v>
      </c>
      <c r="C50" s="14" t="inlineStr">
        <is>
          <t>NZL</t>
        </is>
      </c>
      <c r="D50" s="23" t="inlineStr">
        <is>
          <t>EGT</t>
        </is>
      </c>
      <c r="E50" s="19" t="n">
        <v>0</v>
      </c>
      <c r="F50" s="20" t="n">
        <v>2</v>
      </c>
      <c r="G50" s="19" t="n">
        <v>0</v>
      </c>
      <c r="H50" s="20" t="n">
        <v>2</v>
      </c>
      <c r="I50" s="27" t="n">
        <v>0</v>
      </c>
      <c r="J50" s="29" t="n">
        <v>1</v>
      </c>
      <c r="K50" s="25" t="n"/>
      <c r="L50" s="23" t="n"/>
      <c r="M50" s="35">
        <f>IF(OR($K50="",$L50="",$E50="",$F50=""),"",IF($E50=$F50,IF($K50=$L50,IF($E50=$K50,10,6),0),IF(OR($K50=$L50,SIGN($E50-$F50)&lt;&gt;SIGN($K50-$L50)),0,IF(AND($E50=$K50,$F50=$L50),10,IF(($E50-$F50)=($K50-$L50),6,IF(MAX($E50,$F50)=MAX($K50,$L50),5,IF(MIN($E50,$F50)=MIN($K50,$L50),4,3)))))))</f>
        <v/>
      </c>
      <c r="N50" s="36">
        <f>IF(OR($K50="",$L50="",$G50="",$H50=""),"",IF(AND($G50=$K50,$H50=$L50),5+IF(($K50+$L50)&gt;=6,2,IF(($K50+$L50)=5,1,0)),IF(AND($G50=$H50,$K50=$L50),3,IF(AND($G50&lt;&gt;$H50,$K50&lt;&gt;$L50,SIGN($G50-$H50)=SIGN($K50-$L50)),2,0))))</f>
        <v/>
      </c>
      <c r="O50" s="36">
        <f>IF(OR($K50="",$L50="",$I50="",$J50=""),"",IF(AND($I50=$K50,$J50=$L50),3,IF(SIGN($I50-$J50)=SIGN($K50-$L50),1,0)))</f>
        <v/>
      </c>
      <c r="P50" s="15" t="n"/>
    </row>
    <row r="51">
      <c r="A51" s="10" t="inlineStr">
        <is>
          <t>G</t>
        </is>
      </c>
      <c r="B51" s="10" t="n">
        <v>41</v>
      </c>
      <c r="C51" s="11" t="inlineStr">
        <is>
          <t>EGT</t>
        </is>
      </c>
      <c r="D51" s="22" t="inlineStr">
        <is>
          <t>IRA</t>
        </is>
      </c>
      <c r="E51" s="18" t="n">
        <v>1</v>
      </c>
      <c r="F51" s="21" t="n">
        <v>2</v>
      </c>
      <c r="G51" s="18" t="n">
        <v>1</v>
      </c>
      <c r="H51" s="21" t="n">
        <v>2</v>
      </c>
      <c r="I51" s="26" t="n">
        <v>0</v>
      </c>
      <c r="J51" s="28" t="n">
        <v>1</v>
      </c>
      <c r="K51" s="24" t="n"/>
      <c r="L51" s="22" t="n"/>
      <c r="M51" s="33">
        <f>IF(OR($K51="",$L51="",$E51="",$F51=""),"",IF($E51=$F51,IF($K51=$L51,IF($E51=$K51,10,6),0),IF(OR($K51=$L51,SIGN($E51-$F51)&lt;&gt;SIGN($K51-$L51)),0,IF(AND($E51=$K51,$F51=$L51),10,IF(($E51-$F51)=($K51-$L51),6,IF(MAX($E51,$F51)=MAX($K51,$L51),5,IF(MIN($E51,$F51)=MIN($K51,$L51),4,3)))))))</f>
        <v/>
      </c>
      <c r="N51" s="34">
        <f>IF(OR($K51="",$L51="",$G51="",$H51=""),"",IF(AND($G51=$K51,$H51=$L51),5+IF(($K51+$L51)&gt;=6,2,IF(($K51+$L51)=5,1,0)),IF(AND($G51=$H51,$K51=$L51),3,IF(AND($G51&lt;&gt;$H51,$K51&lt;&gt;$L51,SIGN($G51-$H51)=SIGN($K51-$L51)),2,0))))</f>
        <v/>
      </c>
      <c r="O51" s="34">
        <f>IF(OR($K51="",$L51="",$I51="",$J51=""),"",IF(AND($I51=$K51,$J51=$L51),3,IF(SIGN($I51-$J51)=SIGN($K51-$L51),1,0)))</f>
        <v/>
      </c>
      <c r="P51" s="12" t="n"/>
    </row>
    <row r="52">
      <c r="A52" s="13" t="inlineStr">
        <is>
          <t>G</t>
        </is>
      </c>
      <c r="B52" s="13" t="n">
        <v>42</v>
      </c>
      <c r="C52" s="14" t="inlineStr">
        <is>
          <t>NZL</t>
        </is>
      </c>
      <c r="D52" s="23" t="inlineStr">
        <is>
          <t>BEL</t>
        </is>
      </c>
      <c r="E52" s="19" t="n">
        <v>0</v>
      </c>
      <c r="F52" s="20" t="n">
        <v>2</v>
      </c>
      <c r="G52" s="19" t="n">
        <v>1</v>
      </c>
      <c r="H52" s="20" t="n">
        <v>4</v>
      </c>
      <c r="I52" s="27" t="n">
        <v>0</v>
      </c>
      <c r="J52" s="29" t="n">
        <v>1</v>
      </c>
      <c r="K52" s="25" t="n"/>
      <c r="L52" s="23" t="n"/>
      <c r="M52" s="35">
        <f>IF(OR($K52="",$L52="",$E52="",$F52=""),"",IF($E52=$F52,IF($K52=$L52,IF($E52=$K52,10,6),0),IF(OR($K52=$L52,SIGN($E52-$F52)&lt;&gt;SIGN($K52-$L52)),0,IF(AND($E52=$K52,$F52=$L52),10,IF(($E52-$F52)=($K52-$L52),6,IF(MAX($E52,$F52)=MAX($K52,$L52),5,IF(MIN($E52,$F52)=MIN($K52,$L52),4,3)))))))</f>
        <v/>
      </c>
      <c r="N52" s="36">
        <f>IF(OR($K52="",$L52="",$G52="",$H52=""),"",IF(AND($G52=$K52,$H52=$L52),5+IF(($K52+$L52)&gt;=6,2,IF(($K52+$L52)=5,1,0)),IF(AND($G52=$H52,$K52=$L52),3,IF(AND($G52&lt;&gt;$H52,$K52&lt;&gt;$L52,SIGN($G52-$H52)=SIGN($K52-$L52)),2,0))))</f>
        <v/>
      </c>
      <c r="O52" s="36">
        <f>IF(OR($K52="",$L52="",$I52="",$J52=""),"",IF(AND($I52=$K52,$J52=$L52),3,IF(SIGN($I52-$J52)=SIGN($K52-$L52),1,0)))</f>
        <v/>
      </c>
      <c r="P52" s="15" t="n"/>
    </row>
    <row r="53" ht="18" customHeight="1">
      <c r="A53" s="3" t="inlineStr">
        <is>
          <t>Grupo H</t>
        </is>
      </c>
    </row>
    <row r="54">
      <c r="A54" s="10" t="inlineStr">
        <is>
          <t>H</t>
        </is>
      </c>
      <c r="B54" s="10" t="n">
        <v>43</v>
      </c>
      <c r="C54" s="11" t="inlineStr">
        <is>
          <t>SAU</t>
        </is>
      </c>
      <c r="D54" s="22" t="inlineStr">
        <is>
          <t>URU</t>
        </is>
      </c>
      <c r="E54" s="18" t="n">
        <v>0</v>
      </c>
      <c r="F54" s="21" t="n">
        <v>2</v>
      </c>
      <c r="G54" s="18" t="n">
        <v>0</v>
      </c>
      <c r="H54" s="21" t="n">
        <v>2</v>
      </c>
      <c r="I54" s="26" t="n">
        <v>0</v>
      </c>
      <c r="J54" s="28" t="n">
        <v>1</v>
      </c>
      <c r="K54" s="24" t="n"/>
      <c r="L54" s="22" t="n"/>
      <c r="M54" s="33">
        <f>IF(OR($K54="",$L54="",$E54="",$F54=""),"",IF($E54=$F54,IF($K54=$L54,IF($E54=$K54,10,6),0),IF(OR($K54=$L54,SIGN($E54-$F54)&lt;&gt;SIGN($K54-$L54)),0,IF(AND($E54=$K54,$F54=$L54),10,IF(($E54-$F54)=($K54-$L54),6,IF(MAX($E54,$F54)=MAX($K54,$L54),5,IF(MIN($E54,$F54)=MIN($K54,$L54),4,3)))))))</f>
        <v/>
      </c>
      <c r="N54" s="34">
        <f>IF(OR($K54="",$L54="",$G54="",$H54=""),"",IF(AND($G54=$K54,$H54=$L54),5+IF(($K54+$L54)&gt;=6,2,IF(($K54+$L54)=5,1,0)),IF(AND($G54=$H54,$K54=$L54),3,IF(AND($G54&lt;&gt;$H54,$K54&lt;&gt;$L54,SIGN($G54-$H54)=SIGN($K54-$L54)),2,0))))</f>
        <v/>
      </c>
      <c r="O54" s="34">
        <f>IF(OR($K54="",$L54="",$I54="",$J54=""),"",IF(AND($I54=$K54,$J54=$L54),3,IF(SIGN($I54-$J54)=SIGN($K54-$L54),1,0)))</f>
        <v/>
      </c>
      <c r="P54" s="12" t="n"/>
    </row>
    <row r="55">
      <c r="A55" s="13" t="inlineStr">
        <is>
          <t>H</t>
        </is>
      </c>
      <c r="B55" s="13" t="n">
        <v>44</v>
      </c>
      <c r="C55" s="14" t="inlineStr">
        <is>
          <t>ESP</t>
        </is>
      </c>
      <c r="D55" s="23" t="inlineStr">
        <is>
          <t>CPV</t>
        </is>
      </c>
      <c r="E55" s="19" t="n">
        <v>2</v>
      </c>
      <c r="F55" s="20" t="n">
        <v>0</v>
      </c>
      <c r="G55" s="19" t="n">
        <v>4</v>
      </c>
      <c r="H55" s="20" t="n">
        <v>1</v>
      </c>
      <c r="I55" s="27" t="n">
        <v>3</v>
      </c>
      <c r="J55" s="29" t="n">
        <v>0</v>
      </c>
      <c r="K55" s="25" t="n"/>
      <c r="L55" s="23" t="n"/>
      <c r="M55" s="35">
        <f>IF(OR($K55="",$L55="",$E55="",$F55=""),"",IF($E55=$F55,IF($K55=$L55,IF($E55=$K55,10,6),0),IF(OR($K55=$L55,SIGN($E55-$F55)&lt;&gt;SIGN($K55-$L55)),0,IF(AND($E55=$K55,$F55=$L55),10,IF(($E55-$F55)=($K55-$L55),6,IF(MAX($E55,$F55)=MAX($K55,$L55),5,IF(MIN($E55,$F55)=MIN($K55,$L55),4,3)))))))</f>
        <v/>
      </c>
      <c r="N55" s="36">
        <f>IF(OR($K55="",$L55="",$G55="",$H55=""),"",IF(AND($G55=$K55,$H55=$L55),5+IF(($K55+$L55)&gt;=6,2,IF(($K55+$L55)=5,1,0)),IF(AND($G55=$H55,$K55=$L55),3,IF(AND($G55&lt;&gt;$H55,$K55&lt;&gt;$L55,SIGN($G55-$H55)=SIGN($K55-$L55)),2,0))))</f>
        <v/>
      </c>
      <c r="O55" s="36">
        <f>IF(OR($K55="",$L55="",$I55="",$J55=""),"",IF(AND($I55=$K55,$J55=$L55),3,IF(SIGN($I55-$J55)=SIGN($K55-$L55),1,0)))</f>
        <v/>
      </c>
      <c r="P55" s="15" t="n"/>
    </row>
    <row r="56">
      <c r="A56" s="10" t="inlineStr">
        <is>
          <t>H</t>
        </is>
      </c>
      <c r="B56" s="10" t="n">
        <v>45</v>
      </c>
      <c r="C56" s="11" t="inlineStr">
        <is>
          <t>URU</t>
        </is>
      </c>
      <c r="D56" s="22" t="inlineStr">
        <is>
          <t>CPV</t>
        </is>
      </c>
      <c r="E56" s="18" t="n">
        <v>2</v>
      </c>
      <c r="F56" s="21" t="n">
        <v>0</v>
      </c>
      <c r="G56" s="18" t="n">
        <v>4</v>
      </c>
      <c r="H56" s="21" t="n">
        <v>1</v>
      </c>
      <c r="I56" s="26" t="n">
        <v>1</v>
      </c>
      <c r="J56" s="28" t="n">
        <v>0</v>
      </c>
      <c r="K56" s="24" t="n"/>
      <c r="L56" s="22" t="n"/>
      <c r="M56" s="33">
        <f>IF(OR($K56="",$L56="",$E56="",$F56=""),"",IF($E56=$F56,IF($K56=$L56,IF($E56=$K56,10,6),0),IF(OR($K56=$L56,SIGN($E56-$F56)&lt;&gt;SIGN($K56-$L56)),0,IF(AND($E56=$K56,$F56=$L56),10,IF(($E56-$F56)=($K56-$L56),6,IF(MAX($E56,$F56)=MAX($K56,$L56),5,IF(MIN($E56,$F56)=MIN($K56,$L56),4,3)))))))</f>
        <v/>
      </c>
      <c r="N56" s="34">
        <f>IF(OR($K56="",$L56="",$G56="",$H56=""),"",IF(AND($G56=$K56,$H56=$L56),5+IF(($K56+$L56)&gt;=6,2,IF(($K56+$L56)=5,1,0)),IF(AND($G56=$H56,$K56=$L56),3,IF(AND($G56&lt;&gt;$H56,$K56&lt;&gt;$L56,SIGN($G56-$H56)=SIGN($K56-$L56)),2,0))))</f>
        <v/>
      </c>
      <c r="O56" s="34">
        <f>IF(OR($K56="",$L56="",$I56="",$J56=""),"",IF(AND($I56=$K56,$J56=$L56),3,IF(SIGN($I56-$J56)=SIGN($K56-$L56),1,0)))</f>
        <v/>
      </c>
      <c r="P56" s="12" t="n"/>
    </row>
    <row r="57">
      <c r="A57" s="13" t="inlineStr">
        <is>
          <t>H</t>
        </is>
      </c>
      <c r="B57" s="13" t="n">
        <v>46</v>
      </c>
      <c r="C57" s="14" t="inlineStr">
        <is>
          <t>ESP</t>
        </is>
      </c>
      <c r="D57" s="23" t="inlineStr">
        <is>
          <t>SAU</t>
        </is>
      </c>
      <c r="E57" s="19" t="n">
        <v>2</v>
      </c>
      <c r="F57" s="20" t="n">
        <v>0</v>
      </c>
      <c r="G57" s="19" t="n">
        <v>4</v>
      </c>
      <c r="H57" s="20" t="n">
        <v>1</v>
      </c>
      <c r="I57" s="27" t="n">
        <v>2</v>
      </c>
      <c r="J57" s="29" t="n">
        <v>0</v>
      </c>
      <c r="K57" s="25" t="n"/>
      <c r="L57" s="23" t="n"/>
      <c r="M57" s="35">
        <f>IF(OR($K57="",$L57="",$E57="",$F57=""),"",IF($E57=$F57,IF($K57=$L57,IF($E57=$K57,10,6),0),IF(OR($K57=$L57,SIGN($E57-$F57)&lt;&gt;SIGN($K57-$L57)),0,IF(AND($E57=$K57,$F57=$L57),10,IF(($E57-$F57)=($K57-$L57),6,IF(MAX($E57,$F57)=MAX($K57,$L57),5,IF(MIN($E57,$F57)=MIN($K57,$L57),4,3)))))))</f>
        <v/>
      </c>
      <c r="N57" s="36">
        <f>IF(OR($K57="",$L57="",$G57="",$H57=""),"",IF(AND($G57=$K57,$H57=$L57),5+IF(($K57+$L57)&gt;=6,2,IF(($K57+$L57)=5,1,0)),IF(AND($G57=$H57,$K57=$L57),3,IF(AND($G57&lt;&gt;$H57,$K57&lt;&gt;$L57,SIGN($G57-$H57)=SIGN($K57-$L57)),2,0))))</f>
        <v/>
      </c>
      <c r="O57" s="36">
        <f>IF(OR($K57="",$L57="",$I57="",$J57=""),"",IF(AND($I57=$K57,$J57=$L57),3,IF(SIGN($I57-$J57)=SIGN($K57-$L57),1,0)))</f>
        <v/>
      </c>
      <c r="P57" s="15" t="n"/>
    </row>
    <row r="58">
      <c r="A58" s="10" t="inlineStr">
        <is>
          <t>H</t>
        </is>
      </c>
      <c r="B58" s="10" t="n">
        <v>47</v>
      </c>
      <c r="C58" s="11" t="inlineStr">
        <is>
          <t>CPV</t>
        </is>
      </c>
      <c r="D58" s="22" t="inlineStr">
        <is>
          <t>SAU</t>
        </is>
      </c>
      <c r="E58" s="18" t="n">
        <v>1</v>
      </c>
      <c r="F58" s="21" t="n">
        <v>1</v>
      </c>
      <c r="G58" s="18" t="n">
        <v>1</v>
      </c>
      <c r="H58" s="21" t="n">
        <v>1</v>
      </c>
      <c r="I58" s="26" t="n">
        <v>0</v>
      </c>
      <c r="J58" s="28" t="n">
        <v>0</v>
      </c>
      <c r="K58" s="24" t="n"/>
      <c r="L58" s="22" t="n"/>
      <c r="M58" s="33">
        <f>IF(OR($K58="",$L58="",$E58="",$F58=""),"",IF($E58=$F58,IF($K58=$L58,IF($E58=$K58,10,6),0),IF(OR($K58=$L58,SIGN($E58-$F58)&lt;&gt;SIGN($K58-$L58)),0,IF(AND($E58=$K58,$F58=$L58),10,IF(($E58-$F58)=($K58-$L58),6,IF(MAX($E58,$F58)=MAX($K58,$L58),5,IF(MIN($E58,$F58)=MIN($K58,$L58),4,3)))))))</f>
        <v/>
      </c>
      <c r="N58" s="34">
        <f>IF(OR($K58="",$L58="",$G58="",$H58=""),"",IF(AND($G58=$K58,$H58=$L58),5+IF(($K58+$L58)&gt;=6,2,IF(($K58+$L58)=5,1,0)),IF(AND($G58=$H58,$K58=$L58),3,IF(AND($G58&lt;&gt;$H58,$K58&lt;&gt;$L58,SIGN($G58-$H58)=SIGN($K58-$L58)),2,0))))</f>
        <v/>
      </c>
      <c r="O58" s="34">
        <f>IF(OR($K58="",$L58="",$I58="",$J58=""),"",IF(AND($I58=$K58,$J58=$L58),3,IF(SIGN($I58-$J58)=SIGN($K58-$L58),1,0)))</f>
        <v/>
      </c>
      <c r="P58" s="12" t="n"/>
    </row>
    <row r="59">
      <c r="A59" s="13" t="inlineStr">
        <is>
          <t>H</t>
        </is>
      </c>
      <c r="B59" s="13" t="n">
        <v>48</v>
      </c>
      <c r="C59" s="14" t="inlineStr">
        <is>
          <t>URU</t>
        </is>
      </c>
      <c r="D59" s="23" t="inlineStr">
        <is>
          <t>ESP</t>
        </is>
      </c>
      <c r="E59" s="19" t="n">
        <v>0</v>
      </c>
      <c r="F59" s="20" t="n">
        <v>2</v>
      </c>
      <c r="G59" s="19" t="n">
        <v>0</v>
      </c>
      <c r="H59" s="20" t="n">
        <v>2</v>
      </c>
      <c r="I59" s="27" t="n">
        <v>0</v>
      </c>
      <c r="J59" s="29" t="n">
        <v>1</v>
      </c>
      <c r="K59" s="25" t="n"/>
      <c r="L59" s="23" t="n"/>
      <c r="M59" s="35">
        <f>IF(OR($K59="",$L59="",$E59="",$F59=""),"",IF($E59=$F59,IF($K59=$L59,IF($E59=$K59,10,6),0),IF(OR($K59=$L59,SIGN($E59-$F59)&lt;&gt;SIGN($K59-$L59)),0,IF(AND($E59=$K59,$F59=$L59),10,IF(($E59-$F59)=($K59-$L59),6,IF(MAX($E59,$F59)=MAX($K59,$L59),5,IF(MIN($E59,$F59)=MIN($K59,$L59),4,3)))))))</f>
        <v/>
      </c>
      <c r="N59" s="36">
        <f>IF(OR($K59="",$L59="",$G59="",$H59=""),"",IF(AND($G59=$K59,$H59=$L59),5+IF(($K59+$L59)&gt;=6,2,IF(($K59+$L59)=5,1,0)),IF(AND($G59=$H59,$K59=$L59),3,IF(AND($G59&lt;&gt;$H59,$K59&lt;&gt;$L59,SIGN($G59-$H59)=SIGN($K59-$L59)),2,0))))</f>
        <v/>
      </c>
      <c r="O59" s="36">
        <f>IF(OR($K59="",$L59="",$I59="",$J59=""),"",IF(AND($I59=$K59,$J59=$L59),3,IF(SIGN($I59-$J59)=SIGN($K59-$L59),1,0)))</f>
        <v/>
      </c>
      <c r="P59" s="15" t="n"/>
    </row>
    <row r="60" ht="18" customHeight="1">
      <c r="A60" s="3" t="inlineStr">
        <is>
          <t>Grupo I</t>
        </is>
      </c>
    </row>
    <row r="61">
      <c r="A61" s="10" t="inlineStr">
        <is>
          <t>I</t>
        </is>
      </c>
      <c r="B61" s="10" t="n">
        <v>49</v>
      </c>
      <c r="C61" s="11" t="inlineStr">
        <is>
          <t>FRA</t>
        </is>
      </c>
      <c r="D61" s="22" t="inlineStr">
        <is>
          <t>SEN</t>
        </is>
      </c>
      <c r="E61" s="18" t="n">
        <v>2</v>
      </c>
      <c r="F61" s="21" t="n">
        <v>0</v>
      </c>
      <c r="G61" s="18" t="n">
        <v>2</v>
      </c>
      <c r="H61" s="21" t="n">
        <v>0</v>
      </c>
      <c r="I61" s="26" t="n">
        <v>1</v>
      </c>
      <c r="J61" s="28" t="n">
        <v>0</v>
      </c>
      <c r="K61" s="24" t="n"/>
      <c r="L61" s="22" t="n"/>
      <c r="M61" s="33">
        <f>IF(OR($K61="",$L61="",$E61="",$F61=""),"",IF($E61=$F61,IF($K61=$L61,IF($E61=$K61,10,6),0),IF(OR($K61=$L61,SIGN($E61-$F61)&lt;&gt;SIGN($K61-$L61)),0,IF(AND($E61=$K61,$F61=$L61),10,IF(($E61-$F61)=($K61-$L61),6,IF(MAX($E61,$F61)=MAX($K61,$L61),5,IF(MIN($E61,$F61)=MIN($K61,$L61),4,3)))))))</f>
        <v/>
      </c>
      <c r="N61" s="34">
        <f>IF(OR($K61="",$L61="",$G61="",$H61=""),"",IF(AND($G61=$K61,$H61=$L61),5+IF(($K61+$L61)&gt;=6,2,IF(($K61+$L61)=5,1,0)),IF(AND($G61=$H61,$K61=$L61),3,IF(AND($G61&lt;&gt;$H61,$K61&lt;&gt;$L61,SIGN($G61-$H61)=SIGN($K61-$L61)),2,0))))</f>
        <v/>
      </c>
      <c r="O61" s="34">
        <f>IF(OR($K61="",$L61="",$I61="",$J61=""),"",IF(AND($I61=$K61,$J61=$L61),3,IF(SIGN($I61-$J61)=SIGN($K61-$L61),1,0)))</f>
        <v/>
      </c>
      <c r="P61" s="12" t="n"/>
    </row>
    <row r="62">
      <c r="A62" s="13" t="inlineStr">
        <is>
          <t>I</t>
        </is>
      </c>
      <c r="B62" s="13" t="n">
        <v>50</v>
      </c>
      <c r="C62" s="14" t="inlineStr">
        <is>
          <t>IRQ</t>
        </is>
      </c>
      <c r="D62" s="23" t="inlineStr">
        <is>
          <t>NOR</t>
        </is>
      </c>
      <c r="E62" s="19" t="n">
        <v>0</v>
      </c>
      <c r="F62" s="20" t="n">
        <v>2</v>
      </c>
      <c r="G62" s="19" t="n">
        <v>0</v>
      </c>
      <c r="H62" s="20" t="n">
        <v>2</v>
      </c>
      <c r="I62" s="27" t="n">
        <v>0</v>
      </c>
      <c r="J62" s="29" t="n">
        <v>1</v>
      </c>
      <c r="K62" s="25" t="n"/>
      <c r="L62" s="23" t="n"/>
      <c r="M62" s="35">
        <f>IF(OR($K62="",$L62="",$E62="",$F62=""),"",IF($E62=$F62,IF($K62=$L62,IF($E62=$K62,10,6),0),IF(OR($K62=$L62,SIGN($E62-$F62)&lt;&gt;SIGN($K62-$L62)),0,IF(AND($E62=$K62,$F62=$L62),10,IF(($E62-$F62)=($K62-$L62),6,IF(MAX($E62,$F62)=MAX($K62,$L62),5,IF(MIN($E62,$F62)=MIN($K62,$L62),4,3)))))))</f>
        <v/>
      </c>
      <c r="N62" s="36">
        <f>IF(OR($K62="",$L62="",$G62="",$H62=""),"",IF(AND($G62=$K62,$H62=$L62),5+IF(($K62+$L62)&gt;=6,2,IF(($K62+$L62)=5,1,0)),IF(AND($G62=$H62,$K62=$L62),3,IF(AND($G62&lt;&gt;$H62,$K62&lt;&gt;$L62,SIGN($G62-$H62)=SIGN($K62-$L62)),2,0))))</f>
        <v/>
      </c>
      <c r="O62" s="36">
        <f>IF(OR($K62="",$L62="",$I62="",$J62=""),"",IF(AND($I62=$K62,$J62=$L62),3,IF(SIGN($I62-$J62)=SIGN($K62-$L62),1,0)))</f>
        <v/>
      </c>
      <c r="P62" s="15" t="n"/>
    </row>
    <row r="63">
      <c r="A63" s="10" t="inlineStr">
        <is>
          <t>I</t>
        </is>
      </c>
      <c r="B63" s="10" t="n">
        <v>51</v>
      </c>
      <c r="C63" s="11" t="inlineStr">
        <is>
          <t>NOR</t>
        </is>
      </c>
      <c r="D63" s="22" t="inlineStr">
        <is>
          <t>SEN</t>
        </is>
      </c>
      <c r="E63" s="18" t="n">
        <v>2</v>
      </c>
      <c r="F63" s="21" t="n">
        <v>1</v>
      </c>
      <c r="G63" s="18" t="n">
        <v>2</v>
      </c>
      <c r="H63" s="21" t="n">
        <v>1</v>
      </c>
      <c r="I63" s="26" t="n">
        <v>1</v>
      </c>
      <c r="J63" s="28" t="n">
        <v>1</v>
      </c>
      <c r="K63" s="24" t="n"/>
      <c r="L63" s="22" t="n"/>
      <c r="M63" s="33">
        <f>IF(OR($K63="",$L63="",$E63="",$F63=""),"",IF($E63=$F63,IF($K63=$L63,IF($E63=$K63,10,6),0),IF(OR($K63=$L63,SIGN($E63-$F63)&lt;&gt;SIGN($K63-$L63)),0,IF(AND($E63=$K63,$F63=$L63),10,IF(($E63-$F63)=($K63-$L63),6,IF(MAX($E63,$F63)=MAX($K63,$L63),5,IF(MIN($E63,$F63)=MIN($K63,$L63),4,3)))))))</f>
        <v/>
      </c>
      <c r="N63" s="34">
        <f>IF(OR($K63="",$L63="",$G63="",$H63=""),"",IF(AND($G63=$K63,$H63=$L63),5+IF(($K63+$L63)&gt;=6,2,IF(($K63+$L63)=5,1,0)),IF(AND($G63=$H63,$K63=$L63),3,IF(AND($G63&lt;&gt;$H63,$K63&lt;&gt;$L63,SIGN($G63-$H63)=SIGN($K63-$L63)),2,0))))</f>
        <v/>
      </c>
      <c r="O63" s="34">
        <f>IF(OR($K63="",$L63="",$I63="",$J63=""),"",IF(AND($I63=$K63,$J63=$L63),3,IF(SIGN($I63-$J63)=SIGN($K63-$L63),1,0)))</f>
        <v/>
      </c>
      <c r="P63" s="12" t="n"/>
    </row>
    <row r="64">
      <c r="A64" s="13" t="inlineStr">
        <is>
          <t>I</t>
        </is>
      </c>
      <c r="B64" s="13" t="n">
        <v>52</v>
      </c>
      <c r="C64" s="14" t="inlineStr">
        <is>
          <t>FRA</t>
        </is>
      </c>
      <c r="D64" s="23" t="inlineStr">
        <is>
          <t>IRQ</t>
        </is>
      </c>
      <c r="E64" s="19" t="n">
        <v>2</v>
      </c>
      <c r="F64" s="20" t="n">
        <v>0</v>
      </c>
      <c r="G64" s="19" t="n">
        <v>4</v>
      </c>
      <c r="H64" s="20" t="n">
        <v>1</v>
      </c>
      <c r="I64" s="27" t="n">
        <v>2</v>
      </c>
      <c r="J64" s="29" t="n">
        <v>0</v>
      </c>
      <c r="K64" s="25" t="n"/>
      <c r="L64" s="23" t="n"/>
      <c r="M64" s="35">
        <f>IF(OR($K64="",$L64="",$E64="",$F64=""),"",IF($E64=$F64,IF($K64=$L64,IF($E64=$K64,10,6),0),IF(OR($K64=$L64,SIGN($E64-$F64)&lt;&gt;SIGN($K64-$L64)),0,IF(AND($E64=$K64,$F64=$L64),10,IF(($E64-$F64)=($K64-$L64),6,IF(MAX($E64,$F64)=MAX($K64,$L64),5,IF(MIN($E64,$F64)=MIN($K64,$L64),4,3)))))))</f>
        <v/>
      </c>
      <c r="N64" s="36">
        <f>IF(OR($K64="",$L64="",$G64="",$H64=""),"",IF(AND($G64=$K64,$H64=$L64),5+IF(($K64+$L64)&gt;=6,2,IF(($K64+$L64)=5,1,0)),IF(AND($G64=$H64,$K64=$L64),3,IF(AND($G64&lt;&gt;$H64,$K64&lt;&gt;$L64,SIGN($G64-$H64)=SIGN($K64-$L64)),2,0))))</f>
        <v/>
      </c>
      <c r="O64" s="36">
        <f>IF(OR($K64="",$L64="",$I64="",$J64=""),"",IF(AND($I64=$K64,$J64=$L64),3,IF(SIGN($I64-$J64)=SIGN($K64-$L64),1,0)))</f>
        <v/>
      </c>
      <c r="P64" s="15" t="n"/>
    </row>
    <row r="65">
      <c r="A65" s="10" t="inlineStr">
        <is>
          <t>I</t>
        </is>
      </c>
      <c r="B65" s="10" t="n">
        <v>53</v>
      </c>
      <c r="C65" s="11" t="inlineStr">
        <is>
          <t>NOR</t>
        </is>
      </c>
      <c r="D65" s="22" t="inlineStr">
        <is>
          <t>FRA</t>
        </is>
      </c>
      <c r="E65" s="18" t="n">
        <v>0</v>
      </c>
      <c r="F65" s="21" t="n">
        <v>2</v>
      </c>
      <c r="G65" s="18" t="n">
        <v>0</v>
      </c>
      <c r="H65" s="21" t="n">
        <v>2</v>
      </c>
      <c r="I65" s="26" t="n">
        <v>0</v>
      </c>
      <c r="J65" s="28" t="n">
        <v>2</v>
      </c>
      <c r="K65" s="24" t="n"/>
      <c r="L65" s="22" t="n"/>
      <c r="M65" s="33">
        <f>IF(OR($K65="",$L65="",$E65="",$F65=""),"",IF($E65=$F65,IF($K65=$L65,IF($E65=$K65,10,6),0),IF(OR($K65=$L65,SIGN($E65-$F65)&lt;&gt;SIGN($K65-$L65)),0,IF(AND($E65=$K65,$F65=$L65),10,IF(($E65-$F65)=($K65-$L65),6,IF(MAX($E65,$F65)=MAX($K65,$L65),5,IF(MIN($E65,$F65)=MIN($K65,$L65),4,3)))))))</f>
        <v/>
      </c>
      <c r="N65" s="34">
        <f>IF(OR($K65="",$L65="",$G65="",$H65=""),"",IF(AND($G65=$K65,$H65=$L65),5+IF(($K65+$L65)&gt;=6,2,IF(($K65+$L65)=5,1,0)),IF(AND($G65=$H65,$K65=$L65),3,IF(AND($G65&lt;&gt;$H65,$K65&lt;&gt;$L65,SIGN($G65-$H65)=SIGN($K65-$L65)),2,0))))</f>
        <v/>
      </c>
      <c r="O65" s="34">
        <f>IF(OR($K65="",$L65="",$I65="",$J65=""),"",IF(AND($I65=$K65,$J65=$L65),3,IF(SIGN($I65-$J65)=SIGN($K65-$L65),1,0)))</f>
        <v/>
      </c>
      <c r="P65" s="12" t="n"/>
    </row>
    <row r="66">
      <c r="A66" s="13" t="inlineStr">
        <is>
          <t>I</t>
        </is>
      </c>
      <c r="B66" s="13" t="n">
        <v>54</v>
      </c>
      <c r="C66" s="14" t="inlineStr">
        <is>
          <t>SEN</t>
        </is>
      </c>
      <c r="D66" s="23" t="inlineStr">
        <is>
          <t>IRQ</t>
        </is>
      </c>
      <c r="E66" s="19" t="n">
        <v>2</v>
      </c>
      <c r="F66" s="20" t="n">
        <v>0</v>
      </c>
      <c r="G66" s="19" t="n">
        <v>2</v>
      </c>
      <c r="H66" s="20" t="n">
        <v>0</v>
      </c>
      <c r="I66" s="27" t="n">
        <v>1</v>
      </c>
      <c r="J66" s="29" t="n">
        <v>0</v>
      </c>
      <c r="K66" s="25" t="n"/>
      <c r="L66" s="23" t="n"/>
      <c r="M66" s="35">
        <f>IF(OR($K66="",$L66="",$E66="",$F66=""),"",IF($E66=$F66,IF($K66=$L66,IF($E66=$K66,10,6),0),IF(OR($K66=$L66,SIGN($E66-$F66)&lt;&gt;SIGN($K66-$L66)),0,IF(AND($E66=$K66,$F66=$L66),10,IF(($E66-$F66)=($K66-$L66),6,IF(MAX($E66,$F66)=MAX($K66,$L66),5,IF(MIN($E66,$F66)=MIN($K66,$L66),4,3)))))))</f>
        <v/>
      </c>
      <c r="N66" s="36">
        <f>IF(OR($K66="",$L66="",$G66="",$H66=""),"",IF(AND($G66=$K66,$H66=$L66),5+IF(($K66+$L66)&gt;=6,2,IF(($K66+$L66)=5,1,0)),IF(AND($G66=$H66,$K66=$L66),3,IF(AND($G66&lt;&gt;$H66,$K66&lt;&gt;$L66,SIGN($G66-$H66)=SIGN($K66-$L66)),2,0))))</f>
        <v/>
      </c>
      <c r="O66" s="36">
        <f>IF(OR($K66="",$L66="",$I66="",$J66=""),"",IF(AND($I66=$K66,$J66=$L66),3,IF(SIGN($I66-$J66)=SIGN($K66-$L66),1,0)))</f>
        <v/>
      </c>
      <c r="P66" s="15" t="n"/>
    </row>
    <row r="67" ht="18" customHeight="1">
      <c r="A67" s="3" t="inlineStr">
        <is>
          <t>Grupo J</t>
        </is>
      </c>
    </row>
    <row r="68">
      <c r="A68" s="10" t="inlineStr">
        <is>
          <t>J</t>
        </is>
      </c>
      <c r="B68" s="10" t="n">
        <v>55</v>
      </c>
      <c r="C68" s="11" t="inlineStr">
        <is>
          <t>ARG</t>
        </is>
      </c>
      <c r="D68" s="22" t="inlineStr">
        <is>
          <t>AGL</t>
        </is>
      </c>
      <c r="E68" s="18" t="n">
        <v>2</v>
      </c>
      <c r="F68" s="21" t="n">
        <v>0</v>
      </c>
      <c r="G68" s="18" t="n">
        <v>2</v>
      </c>
      <c r="H68" s="21" t="n">
        <v>0</v>
      </c>
      <c r="I68" s="26" t="n">
        <v>1</v>
      </c>
      <c r="J68" s="28" t="n">
        <v>0</v>
      </c>
      <c r="K68" s="24" t="n"/>
      <c r="L68" s="22" t="n"/>
      <c r="M68" s="33">
        <f>IF(OR($K68="",$L68="",$E68="",$F68=""),"",IF($E68=$F68,IF($K68=$L68,IF($E68=$K68,10,6),0),IF(OR($K68=$L68,SIGN($E68-$F68)&lt;&gt;SIGN($K68-$L68)),0,IF(AND($E68=$K68,$F68=$L68),10,IF(($E68-$F68)=($K68-$L68),6,IF(MAX($E68,$F68)=MAX($K68,$L68),5,IF(MIN($E68,$F68)=MIN($K68,$L68),4,3)))))))</f>
        <v/>
      </c>
      <c r="N68" s="34">
        <f>IF(OR($K68="",$L68="",$G68="",$H68=""),"",IF(AND($G68=$K68,$H68=$L68),5+IF(($K68+$L68)&gt;=6,2,IF(($K68+$L68)=5,1,0)),IF(AND($G68=$H68,$K68=$L68),3,IF(AND($G68&lt;&gt;$H68,$K68&lt;&gt;$L68,SIGN($G68-$H68)=SIGN($K68-$L68)),2,0))))</f>
        <v/>
      </c>
      <c r="O68" s="34">
        <f>IF(OR($K68="",$L68="",$I68="",$J68=""),"",IF(AND($I68=$K68,$J68=$L68),3,IF(SIGN($I68-$J68)=SIGN($K68-$L68),1,0)))</f>
        <v/>
      </c>
      <c r="P68" s="12" t="n"/>
    </row>
    <row r="69">
      <c r="A69" s="13" t="inlineStr">
        <is>
          <t>J</t>
        </is>
      </c>
      <c r="B69" s="13" t="n">
        <v>56</v>
      </c>
      <c r="C69" s="14" t="inlineStr">
        <is>
          <t>AUT</t>
        </is>
      </c>
      <c r="D69" s="23" t="inlineStr">
        <is>
          <t>JRD</t>
        </is>
      </c>
      <c r="E69" s="19" t="n">
        <v>2</v>
      </c>
      <c r="F69" s="20" t="n">
        <v>0</v>
      </c>
      <c r="G69" s="19" t="n">
        <v>2</v>
      </c>
      <c r="H69" s="20" t="n">
        <v>0</v>
      </c>
      <c r="I69" s="27" t="n">
        <v>2</v>
      </c>
      <c r="J69" s="29" t="n">
        <v>0</v>
      </c>
      <c r="K69" s="25" t="n"/>
      <c r="L69" s="23" t="n"/>
      <c r="M69" s="35">
        <f>IF(OR($K69="",$L69="",$E69="",$F69=""),"",IF($E69=$F69,IF($K69=$L69,IF($E69=$K69,10,6),0),IF(OR($K69=$L69,SIGN($E69-$F69)&lt;&gt;SIGN($K69-$L69)),0,IF(AND($E69=$K69,$F69=$L69),10,IF(($E69-$F69)=($K69-$L69),6,IF(MAX($E69,$F69)=MAX($K69,$L69),5,IF(MIN($E69,$F69)=MIN($K69,$L69),4,3)))))))</f>
        <v/>
      </c>
      <c r="N69" s="36">
        <f>IF(OR($K69="",$L69="",$G69="",$H69=""),"",IF(AND($G69=$K69,$H69=$L69),5+IF(($K69+$L69)&gt;=6,2,IF(($K69+$L69)=5,1,0)),IF(AND($G69=$H69,$K69=$L69),3,IF(AND($G69&lt;&gt;$H69,$K69&lt;&gt;$L69,SIGN($G69-$H69)=SIGN($K69-$L69)),2,0))))</f>
        <v/>
      </c>
      <c r="O69" s="36">
        <f>IF(OR($K69="",$L69="",$I69="",$J69=""),"",IF(AND($I69=$K69,$J69=$L69),3,IF(SIGN($I69-$J69)=SIGN($K69-$L69),1,0)))</f>
        <v/>
      </c>
      <c r="P69" s="15" t="n"/>
    </row>
    <row r="70">
      <c r="A70" s="10" t="inlineStr">
        <is>
          <t>J</t>
        </is>
      </c>
      <c r="B70" s="10" t="n">
        <v>57</v>
      </c>
      <c r="C70" s="11" t="inlineStr">
        <is>
          <t>ARG</t>
        </is>
      </c>
      <c r="D70" s="22" t="inlineStr">
        <is>
          <t>AUT</t>
        </is>
      </c>
      <c r="E70" s="18" t="n">
        <v>2</v>
      </c>
      <c r="F70" s="21" t="n">
        <v>0</v>
      </c>
      <c r="G70" s="18" t="n">
        <v>2</v>
      </c>
      <c r="H70" s="21" t="n">
        <v>0</v>
      </c>
      <c r="I70" s="26" t="n">
        <v>1</v>
      </c>
      <c r="J70" s="28" t="n">
        <v>0</v>
      </c>
      <c r="K70" s="24" t="n"/>
      <c r="L70" s="22" t="n"/>
      <c r="M70" s="33">
        <f>IF(OR($K70="",$L70="",$E70="",$F70=""),"",IF($E70=$F70,IF($K70=$L70,IF($E70=$K70,10,6),0),IF(OR($K70=$L70,SIGN($E70-$F70)&lt;&gt;SIGN($K70-$L70)),0,IF(AND($E70=$K70,$F70=$L70),10,IF(($E70-$F70)=($K70-$L70),6,IF(MAX($E70,$F70)=MAX($K70,$L70),5,IF(MIN($E70,$F70)=MIN($K70,$L70),4,3)))))))</f>
        <v/>
      </c>
      <c r="N70" s="34">
        <f>IF(OR($K70="",$L70="",$G70="",$H70=""),"",IF(AND($G70=$K70,$H70=$L70),5+IF(($K70+$L70)&gt;=6,2,IF(($K70+$L70)=5,1,0)),IF(AND($G70=$H70,$K70=$L70),3,IF(AND($G70&lt;&gt;$H70,$K70&lt;&gt;$L70,SIGN($G70-$H70)=SIGN($K70-$L70)),2,0))))</f>
        <v/>
      </c>
      <c r="O70" s="34">
        <f>IF(OR($K70="",$L70="",$I70="",$J70=""),"",IF(AND($I70=$K70,$J70=$L70),3,IF(SIGN($I70-$J70)=SIGN($K70-$L70),1,0)))</f>
        <v/>
      </c>
      <c r="P70" s="12" t="n"/>
    </row>
    <row r="71">
      <c r="A71" s="13" t="inlineStr">
        <is>
          <t>J</t>
        </is>
      </c>
      <c r="B71" s="13" t="n">
        <v>58</v>
      </c>
      <c r="C71" s="14" t="inlineStr">
        <is>
          <t>JRD</t>
        </is>
      </c>
      <c r="D71" s="23" t="inlineStr">
        <is>
          <t>AGL</t>
        </is>
      </c>
      <c r="E71" s="19" t="n">
        <v>0</v>
      </c>
      <c r="F71" s="20" t="n">
        <v>2</v>
      </c>
      <c r="G71" s="19" t="n">
        <v>0</v>
      </c>
      <c r="H71" s="20" t="n">
        <v>2</v>
      </c>
      <c r="I71" s="27" t="n">
        <v>1</v>
      </c>
      <c r="J71" s="29" t="n">
        <v>2</v>
      </c>
      <c r="K71" s="25" t="n"/>
      <c r="L71" s="23" t="n"/>
      <c r="M71" s="35">
        <f>IF(OR($K71="",$L71="",$E71="",$F71=""),"",IF($E71=$F71,IF($K71=$L71,IF($E71=$K71,10,6),0),IF(OR($K71=$L71,SIGN($E71-$F71)&lt;&gt;SIGN($K71-$L71)),0,IF(AND($E71=$K71,$F71=$L71),10,IF(($E71-$F71)=($K71-$L71),6,IF(MAX($E71,$F71)=MAX($K71,$L71),5,IF(MIN($E71,$F71)=MIN($K71,$L71),4,3)))))))</f>
        <v/>
      </c>
      <c r="N71" s="36">
        <f>IF(OR($K71="",$L71="",$G71="",$H71=""),"",IF(AND($G71=$K71,$H71=$L71),5+IF(($K71+$L71)&gt;=6,2,IF(($K71+$L71)=5,1,0)),IF(AND($G71=$H71,$K71=$L71),3,IF(AND($G71&lt;&gt;$H71,$K71&lt;&gt;$L71,SIGN($G71-$H71)=SIGN($K71-$L71)),2,0))))</f>
        <v/>
      </c>
      <c r="O71" s="36">
        <f>IF(OR($K71="",$L71="",$I71="",$J71=""),"",IF(AND($I71=$K71,$J71=$L71),3,IF(SIGN($I71-$J71)=SIGN($K71-$L71),1,0)))</f>
        <v/>
      </c>
      <c r="P71" s="15" t="n"/>
    </row>
    <row r="72">
      <c r="A72" s="10" t="inlineStr">
        <is>
          <t>J</t>
        </is>
      </c>
      <c r="B72" s="10" t="n">
        <v>59</v>
      </c>
      <c r="C72" s="11" t="inlineStr">
        <is>
          <t>AGL</t>
        </is>
      </c>
      <c r="D72" s="22" t="inlineStr">
        <is>
          <t>AUT</t>
        </is>
      </c>
      <c r="E72" s="18" t="n">
        <v>1</v>
      </c>
      <c r="F72" s="21" t="n">
        <v>2</v>
      </c>
      <c r="G72" s="18" t="n">
        <v>1</v>
      </c>
      <c r="H72" s="21" t="n">
        <v>2</v>
      </c>
      <c r="I72" s="26" t="n">
        <v>1</v>
      </c>
      <c r="J72" s="28" t="n">
        <v>1</v>
      </c>
      <c r="K72" s="24" t="n"/>
      <c r="L72" s="22" t="n"/>
      <c r="M72" s="33">
        <f>IF(OR($K72="",$L72="",$E72="",$F72=""),"",IF($E72=$F72,IF($K72=$L72,IF($E72=$K72,10,6),0),IF(OR($K72=$L72,SIGN($E72-$F72)&lt;&gt;SIGN($K72-$L72)),0,IF(AND($E72=$K72,$F72=$L72),10,IF(($E72-$F72)=($K72-$L72),6,IF(MAX($E72,$F72)=MAX($K72,$L72),5,IF(MIN($E72,$F72)=MIN($K72,$L72),4,3)))))))</f>
        <v/>
      </c>
      <c r="N72" s="34">
        <f>IF(OR($K72="",$L72="",$G72="",$H72=""),"",IF(AND($G72=$K72,$H72=$L72),5+IF(($K72+$L72)&gt;=6,2,IF(($K72+$L72)=5,1,0)),IF(AND($G72=$H72,$K72=$L72),3,IF(AND($G72&lt;&gt;$H72,$K72&lt;&gt;$L72,SIGN($G72-$H72)=SIGN($K72-$L72)),2,0))))</f>
        <v/>
      </c>
      <c r="O72" s="34">
        <f>IF(OR($K72="",$L72="",$I72="",$J72=""),"",IF(AND($I72=$K72,$J72=$L72),3,IF(SIGN($I72-$J72)=SIGN($K72-$L72),1,0)))</f>
        <v/>
      </c>
      <c r="P72" s="12" t="n"/>
    </row>
    <row r="73">
      <c r="A73" s="13" t="inlineStr">
        <is>
          <t>J</t>
        </is>
      </c>
      <c r="B73" s="13" t="n">
        <v>60</v>
      </c>
      <c r="C73" s="14" t="inlineStr">
        <is>
          <t>JRD</t>
        </is>
      </c>
      <c r="D73" s="23" t="inlineStr">
        <is>
          <t>ARG</t>
        </is>
      </c>
      <c r="E73" s="19" t="n">
        <v>0</v>
      </c>
      <c r="F73" s="20" t="n">
        <v>2</v>
      </c>
      <c r="G73" s="19" t="n">
        <v>1</v>
      </c>
      <c r="H73" s="20" t="n">
        <v>4</v>
      </c>
      <c r="I73" s="27" t="n">
        <v>0</v>
      </c>
      <c r="J73" s="29" t="n">
        <v>2</v>
      </c>
      <c r="K73" s="25" t="n"/>
      <c r="L73" s="23" t="n"/>
      <c r="M73" s="35">
        <f>IF(OR($K73="",$L73="",$E73="",$F73=""),"",IF($E73=$F73,IF($K73=$L73,IF($E73=$K73,10,6),0),IF(OR($K73=$L73,SIGN($E73-$F73)&lt;&gt;SIGN($K73-$L73)),0,IF(AND($E73=$K73,$F73=$L73),10,IF(($E73-$F73)=($K73-$L73),6,IF(MAX($E73,$F73)=MAX($K73,$L73),5,IF(MIN($E73,$F73)=MIN($K73,$L73),4,3)))))))</f>
        <v/>
      </c>
      <c r="N73" s="36">
        <f>IF(OR($K73="",$L73="",$G73="",$H73=""),"",IF(AND($G73=$K73,$H73=$L73),5+IF(($K73+$L73)&gt;=6,2,IF(($K73+$L73)=5,1,0)),IF(AND($G73=$H73,$K73=$L73),3,IF(AND($G73&lt;&gt;$H73,$K73&lt;&gt;$L73,SIGN($G73-$H73)=SIGN($K73-$L73)),2,0))))</f>
        <v/>
      </c>
      <c r="O73" s="36">
        <f>IF(OR($K73="",$L73="",$I73="",$J73=""),"",IF(AND($I73=$K73,$J73=$L73),3,IF(SIGN($I73-$J73)=SIGN($K73-$L73),1,0)))</f>
        <v/>
      </c>
      <c r="P73" s="15" t="n"/>
    </row>
    <row r="74" ht="18" customHeight="1">
      <c r="A74" s="3" t="inlineStr">
        <is>
          <t>Grupo K</t>
        </is>
      </c>
    </row>
    <row r="75">
      <c r="A75" s="10" t="inlineStr">
        <is>
          <t>K</t>
        </is>
      </c>
      <c r="B75" s="10" t="n">
        <v>61</v>
      </c>
      <c r="C75" s="11" t="inlineStr">
        <is>
          <t>POR</t>
        </is>
      </c>
      <c r="D75" s="22" t="inlineStr">
        <is>
          <t>RDC</t>
        </is>
      </c>
      <c r="E75" s="18" t="n">
        <v>2</v>
      </c>
      <c r="F75" s="21" t="n">
        <v>0</v>
      </c>
      <c r="G75" s="18" t="n">
        <v>2</v>
      </c>
      <c r="H75" s="21" t="n">
        <v>0</v>
      </c>
      <c r="I75" s="26" t="n">
        <v>1</v>
      </c>
      <c r="J75" s="28" t="n">
        <v>0</v>
      </c>
      <c r="K75" s="24" t="n"/>
      <c r="L75" s="22" t="n"/>
      <c r="M75" s="33">
        <f>IF(OR($K75="",$L75="",$E75="",$F75=""),"",IF($E75=$F75,IF($K75=$L75,IF($E75=$K75,10,6),0),IF(OR($K75=$L75,SIGN($E75-$F75)&lt;&gt;SIGN($K75-$L75)),0,IF(AND($E75=$K75,$F75=$L75),10,IF(($E75-$F75)=($K75-$L75),6,IF(MAX($E75,$F75)=MAX($K75,$L75),5,IF(MIN($E75,$F75)=MIN($K75,$L75),4,3)))))))</f>
        <v/>
      </c>
      <c r="N75" s="34">
        <f>IF(OR($K75="",$L75="",$G75="",$H75=""),"",IF(AND($G75=$K75,$H75=$L75),5+IF(($K75+$L75)&gt;=6,2,IF(($K75+$L75)=5,1,0)),IF(AND($G75=$H75,$K75=$L75),3,IF(AND($G75&lt;&gt;$H75,$K75&lt;&gt;$L75,SIGN($G75-$H75)=SIGN($K75-$L75)),2,0))))</f>
        <v/>
      </c>
      <c r="O75" s="34">
        <f>IF(OR($K75="",$L75="",$I75="",$J75=""),"",IF(AND($I75=$K75,$J75=$L75),3,IF(SIGN($I75-$J75)=SIGN($K75-$L75),1,0)))</f>
        <v/>
      </c>
      <c r="P75" s="12" t="n"/>
    </row>
    <row r="76">
      <c r="A76" s="13" t="inlineStr">
        <is>
          <t>K</t>
        </is>
      </c>
      <c r="B76" s="13" t="n">
        <v>62</v>
      </c>
      <c r="C76" s="14" t="inlineStr">
        <is>
          <t>UZB</t>
        </is>
      </c>
      <c r="D76" s="23" t="inlineStr">
        <is>
          <t>COL</t>
        </is>
      </c>
      <c r="E76" s="19" t="n">
        <v>0</v>
      </c>
      <c r="F76" s="20" t="n">
        <v>2</v>
      </c>
      <c r="G76" s="19" t="n">
        <v>0</v>
      </c>
      <c r="H76" s="20" t="n">
        <v>2</v>
      </c>
      <c r="I76" s="27" t="n">
        <v>0</v>
      </c>
      <c r="J76" s="29" t="n">
        <v>1</v>
      </c>
      <c r="K76" s="25" t="n"/>
      <c r="L76" s="23" t="n"/>
      <c r="M76" s="35">
        <f>IF(OR($K76="",$L76="",$E76="",$F76=""),"",IF($E76=$F76,IF($K76=$L76,IF($E76=$K76,10,6),0),IF(OR($K76=$L76,SIGN($E76-$F76)&lt;&gt;SIGN($K76-$L76)),0,IF(AND($E76=$K76,$F76=$L76),10,IF(($E76-$F76)=($K76-$L76),6,IF(MAX($E76,$F76)=MAX($K76,$L76),5,IF(MIN($E76,$F76)=MIN($K76,$L76),4,3)))))))</f>
        <v/>
      </c>
      <c r="N76" s="36">
        <f>IF(OR($K76="",$L76="",$G76="",$H76=""),"",IF(AND($G76=$K76,$H76=$L76),5+IF(($K76+$L76)&gt;=6,2,IF(($K76+$L76)=5,1,0)),IF(AND($G76=$H76,$K76=$L76),3,IF(AND($G76&lt;&gt;$H76,$K76&lt;&gt;$L76,SIGN($G76-$H76)=SIGN($K76-$L76)),2,0))))</f>
        <v/>
      </c>
      <c r="O76" s="36">
        <f>IF(OR($K76="",$L76="",$I76="",$J76=""),"",IF(AND($I76=$K76,$J76=$L76),3,IF(SIGN($I76-$J76)=SIGN($K76-$L76),1,0)))</f>
        <v/>
      </c>
      <c r="P76" s="15" t="n"/>
    </row>
    <row r="77">
      <c r="A77" s="10" t="inlineStr">
        <is>
          <t>K</t>
        </is>
      </c>
      <c r="B77" s="10" t="n">
        <v>63</v>
      </c>
      <c r="C77" s="11" t="inlineStr">
        <is>
          <t>POR</t>
        </is>
      </c>
      <c r="D77" s="22" t="inlineStr">
        <is>
          <t>UZB</t>
        </is>
      </c>
      <c r="E77" s="18" t="n">
        <v>2</v>
      </c>
      <c r="F77" s="21" t="n">
        <v>0</v>
      </c>
      <c r="G77" s="18" t="n">
        <v>2</v>
      </c>
      <c r="H77" s="21" t="n">
        <v>0</v>
      </c>
      <c r="I77" s="26" t="n">
        <v>1</v>
      </c>
      <c r="J77" s="28" t="n">
        <v>0</v>
      </c>
      <c r="K77" s="24" t="n"/>
      <c r="L77" s="22" t="n"/>
      <c r="M77" s="33">
        <f>IF(OR($K77="",$L77="",$E77="",$F77=""),"",IF($E77=$F77,IF($K77=$L77,IF($E77=$K77,10,6),0),IF(OR($K77=$L77,SIGN($E77-$F77)&lt;&gt;SIGN($K77-$L77)),0,IF(AND($E77=$K77,$F77=$L77),10,IF(($E77-$F77)=($K77-$L77),6,IF(MAX($E77,$F77)=MAX($K77,$L77),5,IF(MIN($E77,$F77)=MIN($K77,$L77),4,3)))))))</f>
        <v/>
      </c>
      <c r="N77" s="34">
        <f>IF(OR($K77="",$L77="",$G77="",$H77=""),"",IF(AND($G77=$K77,$H77=$L77),5+IF(($K77+$L77)&gt;=6,2,IF(($K77+$L77)=5,1,0)),IF(AND($G77=$H77,$K77=$L77),3,IF(AND($G77&lt;&gt;$H77,$K77&lt;&gt;$L77,SIGN($G77-$H77)=SIGN($K77-$L77)),2,0))))</f>
        <v/>
      </c>
      <c r="O77" s="34">
        <f>IF(OR($K77="",$L77="",$I77="",$J77=""),"",IF(AND($I77=$K77,$J77=$L77),3,IF(SIGN($I77-$J77)=SIGN($K77-$L77),1,0)))</f>
        <v/>
      </c>
      <c r="P77" s="12" t="n"/>
    </row>
    <row r="78">
      <c r="A78" s="13" t="inlineStr">
        <is>
          <t>K</t>
        </is>
      </c>
      <c r="B78" s="13" t="n">
        <v>64</v>
      </c>
      <c r="C78" s="14" t="inlineStr">
        <is>
          <t>COL</t>
        </is>
      </c>
      <c r="D78" s="23" t="inlineStr">
        <is>
          <t>RDC</t>
        </is>
      </c>
      <c r="E78" s="19" t="n">
        <v>2</v>
      </c>
      <c r="F78" s="20" t="n">
        <v>0</v>
      </c>
      <c r="G78" s="19" t="n">
        <v>2</v>
      </c>
      <c r="H78" s="20" t="n">
        <v>0</v>
      </c>
      <c r="I78" s="27" t="n">
        <v>1</v>
      </c>
      <c r="J78" s="29" t="n">
        <v>0</v>
      </c>
      <c r="K78" s="25" t="n"/>
      <c r="L78" s="23" t="n"/>
      <c r="M78" s="35">
        <f>IF(OR($K78="",$L78="",$E78="",$F78=""),"",IF($E78=$F78,IF($K78=$L78,IF($E78=$K78,10,6),0),IF(OR($K78=$L78,SIGN($E78-$F78)&lt;&gt;SIGN($K78-$L78)),0,IF(AND($E78=$K78,$F78=$L78),10,IF(($E78-$F78)=($K78-$L78),6,IF(MAX($E78,$F78)=MAX($K78,$L78),5,IF(MIN($E78,$F78)=MIN($K78,$L78),4,3)))))))</f>
        <v/>
      </c>
      <c r="N78" s="36">
        <f>IF(OR($K78="",$L78="",$G78="",$H78=""),"",IF(AND($G78=$K78,$H78=$L78),5+IF(($K78+$L78)&gt;=6,2,IF(($K78+$L78)=5,1,0)),IF(AND($G78=$H78,$K78=$L78),3,IF(AND($G78&lt;&gt;$H78,$K78&lt;&gt;$L78,SIGN($G78-$H78)=SIGN($K78-$L78)),2,0))))</f>
        <v/>
      </c>
      <c r="O78" s="36">
        <f>IF(OR($K78="",$L78="",$I78="",$J78=""),"",IF(AND($I78=$K78,$J78=$L78),3,IF(SIGN($I78-$J78)=SIGN($K78-$L78),1,0)))</f>
        <v/>
      </c>
      <c r="P78" s="15" t="n"/>
    </row>
    <row r="79">
      <c r="A79" s="10" t="inlineStr">
        <is>
          <t>K</t>
        </is>
      </c>
      <c r="B79" s="10" t="n">
        <v>65</v>
      </c>
      <c r="C79" s="11" t="inlineStr">
        <is>
          <t>COL</t>
        </is>
      </c>
      <c r="D79" s="22" t="inlineStr">
        <is>
          <t>POR</t>
        </is>
      </c>
      <c r="E79" s="18" t="n">
        <v>1</v>
      </c>
      <c r="F79" s="21" t="n">
        <v>2</v>
      </c>
      <c r="G79" s="18" t="n">
        <v>1</v>
      </c>
      <c r="H79" s="21" t="n">
        <v>3</v>
      </c>
      <c r="I79" s="26" t="n">
        <v>0</v>
      </c>
      <c r="J79" s="28" t="n">
        <v>1</v>
      </c>
      <c r="K79" s="24" t="n"/>
      <c r="L79" s="22" t="n"/>
      <c r="M79" s="33">
        <f>IF(OR($K79="",$L79="",$E79="",$F79=""),"",IF($E79=$F79,IF($K79=$L79,IF($E79=$K79,10,6),0),IF(OR($K79=$L79,SIGN($E79-$F79)&lt;&gt;SIGN($K79-$L79)),0,IF(AND($E79=$K79,$F79=$L79),10,IF(($E79-$F79)=($K79-$L79),6,IF(MAX($E79,$F79)=MAX($K79,$L79),5,IF(MIN($E79,$F79)=MIN($K79,$L79),4,3)))))))</f>
        <v/>
      </c>
      <c r="N79" s="34">
        <f>IF(OR($K79="",$L79="",$G79="",$H79=""),"",IF(AND($G79=$K79,$H79=$L79),5+IF(($K79+$L79)&gt;=6,2,IF(($K79+$L79)=5,1,0)),IF(AND($G79=$H79,$K79=$L79),3,IF(AND($G79&lt;&gt;$H79,$K79&lt;&gt;$L79,SIGN($G79-$H79)=SIGN($K79-$L79)),2,0))))</f>
        <v/>
      </c>
      <c r="O79" s="34">
        <f>IF(OR($K79="",$L79="",$I79="",$J79=""),"",IF(AND($I79=$K79,$J79=$L79),3,IF(SIGN($I79-$J79)=SIGN($K79-$L79),1,0)))</f>
        <v/>
      </c>
      <c r="P79" s="12" t="n"/>
    </row>
    <row r="80">
      <c r="A80" s="13" t="inlineStr">
        <is>
          <t>K</t>
        </is>
      </c>
      <c r="B80" s="13" t="n">
        <v>66</v>
      </c>
      <c r="C80" s="14" t="inlineStr">
        <is>
          <t>RDC</t>
        </is>
      </c>
      <c r="D80" s="23" t="inlineStr">
        <is>
          <t>UZB</t>
        </is>
      </c>
      <c r="E80" s="19" t="n">
        <v>1</v>
      </c>
      <c r="F80" s="20" t="n">
        <v>1</v>
      </c>
      <c r="G80" s="19" t="n">
        <v>1</v>
      </c>
      <c r="H80" s="20" t="n">
        <v>1</v>
      </c>
      <c r="I80" s="27" t="n">
        <v>0</v>
      </c>
      <c r="J80" s="29" t="n">
        <v>0</v>
      </c>
      <c r="K80" s="25" t="n"/>
      <c r="L80" s="23" t="n"/>
      <c r="M80" s="35">
        <f>IF(OR($K80="",$L80="",$E80="",$F80=""),"",IF($E80=$F80,IF($K80=$L80,IF($E80=$K80,10,6),0),IF(OR($K80=$L80,SIGN($E80-$F80)&lt;&gt;SIGN($K80-$L80)),0,IF(AND($E80=$K80,$F80=$L80),10,IF(($E80-$F80)=($K80-$L80),6,IF(MAX($E80,$F80)=MAX($K80,$L80),5,IF(MIN($E80,$F80)=MIN($K80,$L80),4,3)))))))</f>
        <v/>
      </c>
      <c r="N80" s="36">
        <f>IF(OR($K80="",$L80="",$G80="",$H80=""),"",IF(AND($G80=$K80,$H80=$L80),5+IF(($K80+$L80)&gt;=6,2,IF(($K80+$L80)=5,1,0)),IF(AND($G80=$H80,$K80=$L80),3,IF(AND($G80&lt;&gt;$H80,$K80&lt;&gt;$L80,SIGN($G80-$H80)=SIGN($K80-$L80)),2,0))))</f>
        <v/>
      </c>
      <c r="O80" s="36">
        <f>IF(OR($K80="",$L80="",$I80="",$J80=""),"",IF(AND($I80=$K80,$J80=$L80),3,IF(SIGN($I80-$J80)=SIGN($K80-$L80),1,0)))</f>
        <v/>
      </c>
      <c r="P80" s="15" t="n"/>
    </row>
    <row r="81" ht="18" customHeight="1">
      <c r="A81" s="3" t="inlineStr">
        <is>
          <t>Grupo L</t>
        </is>
      </c>
    </row>
    <row r="82">
      <c r="A82" s="10" t="inlineStr">
        <is>
          <t>L</t>
        </is>
      </c>
      <c r="B82" s="10" t="n">
        <v>67</v>
      </c>
      <c r="C82" s="11" t="inlineStr">
        <is>
          <t>ING</t>
        </is>
      </c>
      <c r="D82" s="22" t="inlineStr">
        <is>
          <t>CRO</t>
        </is>
      </c>
      <c r="E82" s="18" t="n">
        <v>2</v>
      </c>
      <c r="F82" s="21" t="n">
        <v>1</v>
      </c>
      <c r="G82" s="18" t="n">
        <v>2</v>
      </c>
      <c r="H82" s="21" t="n">
        <v>1</v>
      </c>
      <c r="I82" s="26" t="n">
        <v>1</v>
      </c>
      <c r="J82" s="28" t="n">
        <v>0</v>
      </c>
      <c r="K82" s="24" t="n"/>
      <c r="L82" s="22" t="n"/>
      <c r="M82" s="33">
        <f>IF(OR($K82="",$L82="",$E82="",$F82=""),"",IF($E82=$F82,IF($K82=$L82,IF($E82=$K82,10,6),0),IF(OR($K82=$L82,SIGN($E82-$F82)&lt;&gt;SIGN($K82-$L82)),0,IF(AND($E82=$K82,$F82=$L82),10,IF(($E82-$F82)=($K82-$L82),6,IF(MAX($E82,$F82)=MAX($K82,$L82),5,IF(MIN($E82,$F82)=MIN($K82,$L82),4,3)))))))</f>
        <v/>
      </c>
      <c r="N82" s="34">
        <f>IF(OR($K82="",$L82="",$G82="",$H82=""),"",IF(AND($G82=$K82,$H82=$L82),5+IF(($K82+$L82)&gt;=6,2,IF(($K82+$L82)=5,1,0)),IF(AND($G82=$H82,$K82=$L82),3,IF(AND($G82&lt;&gt;$H82,$K82&lt;&gt;$L82,SIGN($G82-$H82)=SIGN($K82-$L82)),2,0))))</f>
        <v/>
      </c>
      <c r="O82" s="34">
        <f>IF(OR($K82="",$L82="",$I82="",$J82=""),"",IF(AND($I82=$K82,$J82=$L82),3,IF(SIGN($I82-$J82)=SIGN($K82-$L82),1,0)))</f>
        <v/>
      </c>
      <c r="P82" s="12" t="n"/>
    </row>
    <row r="83">
      <c r="A83" s="13" t="inlineStr">
        <is>
          <t>L</t>
        </is>
      </c>
      <c r="B83" s="13" t="n">
        <v>68</v>
      </c>
      <c r="C83" s="14" t="inlineStr">
        <is>
          <t>GAN</t>
        </is>
      </c>
      <c r="D83" s="23" t="inlineStr">
        <is>
          <t>PAN</t>
        </is>
      </c>
      <c r="E83" s="19" t="n">
        <v>2</v>
      </c>
      <c r="F83" s="20" t="n">
        <v>1</v>
      </c>
      <c r="G83" s="19" t="n">
        <v>2</v>
      </c>
      <c r="H83" s="20" t="n">
        <v>1</v>
      </c>
      <c r="I83" s="27" t="n">
        <v>1</v>
      </c>
      <c r="J83" s="29" t="n">
        <v>1</v>
      </c>
      <c r="K83" s="25" t="n"/>
      <c r="L83" s="23" t="n"/>
      <c r="M83" s="35">
        <f>IF(OR($K83="",$L83="",$E83="",$F83=""),"",IF($E83=$F83,IF($K83=$L83,IF($E83=$K83,10,6),0),IF(OR($K83=$L83,SIGN($E83-$F83)&lt;&gt;SIGN($K83-$L83)),0,IF(AND($E83=$K83,$F83=$L83),10,IF(($E83-$F83)=($K83-$L83),6,IF(MAX($E83,$F83)=MAX($K83,$L83),5,IF(MIN($E83,$F83)=MIN($K83,$L83),4,3)))))))</f>
        <v/>
      </c>
      <c r="N83" s="36">
        <f>IF(OR($K83="",$L83="",$G83="",$H83=""),"",IF(AND($G83=$K83,$H83=$L83),5+IF(($K83+$L83)&gt;=6,2,IF(($K83+$L83)=5,1,0)),IF(AND($G83=$H83,$K83=$L83),3,IF(AND($G83&lt;&gt;$H83,$K83&lt;&gt;$L83,SIGN($G83-$H83)=SIGN($K83-$L83)),2,0))))</f>
        <v/>
      </c>
      <c r="O83" s="36">
        <f>IF(OR($K83="",$L83="",$I83="",$J83=""),"",IF(AND($I83=$K83,$J83=$L83),3,IF(SIGN($I83-$J83)=SIGN($K83-$L83),1,0)))</f>
        <v/>
      </c>
      <c r="P83" s="15" t="n"/>
    </row>
    <row r="84">
      <c r="A84" s="10" t="inlineStr">
        <is>
          <t>L</t>
        </is>
      </c>
      <c r="B84" s="10" t="n">
        <v>69</v>
      </c>
      <c r="C84" s="11" t="inlineStr">
        <is>
          <t>ING</t>
        </is>
      </c>
      <c r="D84" s="22" t="inlineStr">
        <is>
          <t>GAN</t>
        </is>
      </c>
      <c r="E84" s="18" t="n">
        <v>2</v>
      </c>
      <c r="F84" s="21" t="n">
        <v>0</v>
      </c>
      <c r="G84" s="18" t="n">
        <v>4</v>
      </c>
      <c r="H84" s="21" t="n">
        <v>1</v>
      </c>
      <c r="I84" s="26" t="n">
        <v>1</v>
      </c>
      <c r="J84" s="28" t="n">
        <v>0</v>
      </c>
      <c r="K84" s="24" t="n"/>
      <c r="L84" s="22" t="n"/>
      <c r="M84" s="33">
        <f>IF(OR($K84="",$L84="",$E84="",$F84=""),"",IF($E84=$F84,IF($K84=$L84,IF($E84=$K84,10,6),0),IF(OR($K84=$L84,SIGN($E84-$F84)&lt;&gt;SIGN($K84-$L84)),0,IF(AND($E84=$K84,$F84=$L84),10,IF(($E84-$F84)=($K84-$L84),6,IF(MAX($E84,$F84)=MAX($K84,$L84),5,IF(MIN($E84,$F84)=MIN($K84,$L84),4,3)))))))</f>
        <v/>
      </c>
      <c r="N84" s="34">
        <f>IF(OR($K84="",$L84="",$G84="",$H84=""),"",IF(AND($G84=$K84,$H84=$L84),5+IF(($K84+$L84)&gt;=6,2,IF(($K84+$L84)=5,1,0)),IF(AND($G84=$H84,$K84=$L84),3,IF(AND($G84&lt;&gt;$H84,$K84&lt;&gt;$L84,SIGN($G84-$H84)=SIGN($K84-$L84)),2,0))))</f>
        <v/>
      </c>
      <c r="O84" s="34">
        <f>IF(OR($K84="",$L84="",$I84="",$J84=""),"",IF(AND($I84=$K84,$J84=$L84),3,IF(SIGN($I84-$J84)=SIGN($K84-$L84),1,0)))</f>
        <v/>
      </c>
      <c r="P84" s="12" t="n"/>
    </row>
    <row r="85">
      <c r="A85" s="13" t="inlineStr">
        <is>
          <t>L</t>
        </is>
      </c>
      <c r="B85" s="13" t="n">
        <v>70</v>
      </c>
      <c r="C85" s="14" t="inlineStr">
        <is>
          <t>PAN</t>
        </is>
      </c>
      <c r="D85" s="23" t="inlineStr">
        <is>
          <t>CRO</t>
        </is>
      </c>
      <c r="E85" s="19" t="n">
        <v>0</v>
      </c>
      <c r="F85" s="20" t="n">
        <v>2</v>
      </c>
      <c r="G85" s="19" t="n">
        <v>1</v>
      </c>
      <c r="H85" s="20" t="n">
        <v>4</v>
      </c>
      <c r="I85" s="27" t="n">
        <v>0</v>
      </c>
      <c r="J85" s="29" t="n">
        <v>2</v>
      </c>
      <c r="K85" s="25" t="n"/>
      <c r="L85" s="23" t="n"/>
      <c r="M85" s="35">
        <f>IF(OR($K85="",$L85="",$E85="",$F85=""),"",IF($E85=$F85,IF($K85=$L85,IF($E85=$K85,10,6),0),IF(OR($K85=$L85,SIGN($E85-$F85)&lt;&gt;SIGN($K85-$L85)),0,IF(AND($E85=$K85,$F85=$L85),10,IF(($E85-$F85)=($K85-$L85),6,IF(MAX($E85,$F85)=MAX($K85,$L85),5,IF(MIN($E85,$F85)=MIN($K85,$L85),4,3)))))))</f>
        <v/>
      </c>
      <c r="N85" s="36">
        <f>IF(OR($K85="",$L85="",$G85="",$H85=""),"",IF(AND($G85=$K85,$H85=$L85),5+IF(($K85+$L85)&gt;=6,2,IF(($K85+$L85)=5,1,0)),IF(AND($G85=$H85,$K85=$L85),3,IF(AND($G85&lt;&gt;$H85,$K85&lt;&gt;$L85,SIGN($G85-$H85)=SIGN($K85-$L85)),2,0))))</f>
        <v/>
      </c>
      <c r="O85" s="36">
        <f>IF(OR($K85="",$L85="",$I85="",$J85=""),"",IF(AND($I85=$K85,$J85=$L85),3,IF(SIGN($I85-$J85)=SIGN($K85-$L85),1,0)))</f>
        <v/>
      </c>
      <c r="P85" s="15" t="n"/>
    </row>
    <row r="86">
      <c r="A86" s="10" t="inlineStr">
        <is>
          <t>L</t>
        </is>
      </c>
      <c r="B86" s="10" t="n">
        <v>71</v>
      </c>
      <c r="C86" s="11" t="inlineStr">
        <is>
          <t>PAN</t>
        </is>
      </c>
      <c r="D86" s="22" t="inlineStr">
        <is>
          <t>ING</t>
        </is>
      </c>
      <c r="E86" s="18" t="n">
        <v>0</v>
      </c>
      <c r="F86" s="21" t="n">
        <v>2</v>
      </c>
      <c r="G86" s="18" t="n">
        <v>1</v>
      </c>
      <c r="H86" s="21" t="n">
        <v>4</v>
      </c>
      <c r="I86" s="26" t="n">
        <v>0</v>
      </c>
      <c r="J86" s="28" t="n">
        <v>2</v>
      </c>
      <c r="K86" s="24" t="n"/>
      <c r="L86" s="22" t="n"/>
      <c r="M86" s="33">
        <f>IF(OR($K86="",$L86="",$E86="",$F86=""),"",IF($E86=$F86,IF($K86=$L86,IF($E86=$K86,10,6),0),IF(OR($K86=$L86,SIGN($E86-$F86)&lt;&gt;SIGN($K86-$L86)),0,IF(AND($E86=$K86,$F86=$L86),10,IF(($E86-$F86)=($K86-$L86),6,IF(MAX($E86,$F86)=MAX($K86,$L86),5,IF(MIN($E86,$F86)=MIN($K86,$L86),4,3)))))))</f>
        <v/>
      </c>
      <c r="N86" s="34">
        <f>IF(OR($K86="",$L86="",$G86="",$H86=""),"",IF(AND($G86=$K86,$H86=$L86),5+IF(($K86+$L86)&gt;=6,2,IF(($K86+$L86)=5,1,0)),IF(AND($G86=$H86,$K86=$L86),3,IF(AND($G86&lt;&gt;$H86,$K86&lt;&gt;$L86,SIGN($G86-$H86)=SIGN($K86-$L86)),2,0))))</f>
        <v/>
      </c>
      <c r="O86" s="34">
        <f>IF(OR($K86="",$L86="",$I86="",$J86=""),"",IF(AND($I86=$K86,$J86=$L86),3,IF(SIGN($I86-$J86)=SIGN($K86-$L86),1,0)))</f>
        <v/>
      </c>
      <c r="P86" s="12" t="n"/>
    </row>
    <row r="87">
      <c r="A87" s="13" t="inlineStr">
        <is>
          <t>L</t>
        </is>
      </c>
      <c r="B87" s="13" t="n">
        <v>72</v>
      </c>
      <c r="C87" s="14" t="inlineStr">
        <is>
          <t>CRO</t>
        </is>
      </c>
      <c r="D87" s="23" t="inlineStr">
        <is>
          <t>GAN</t>
        </is>
      </c>
      <c r="E87" s="19" t="n">
        <v>2</v>
      </c>
      <c r="F87" s="20" t="n">
        <v>0</v>
      </c>
      <c r="G87" s="19" t="n">
        <v>2</v>
      </c>
      <c r="H87" s="20" t="n">
        <v>0</v>
      </c>
      <c r="I87" s="27" t="n">
        <v>1</v>
      </c>
      <c r="J87" s="29" t="n">
        <v>0</v>
      </c>
      <c r="K87" s="25" t="n"/>
      <c r="L87" s="23" t="n"/>
      <c r="M87" s="35">
        <f>IF(OR($K87="",$L87="",$E87="",$F87=""),"",IF($E87=$F87,IF($K87=$L87,IF($E87=$K87,10,6),0),IF(OR($K87=$L87,SIGN($E87-$F87)&lt;&gt;SIGN($K87-$L87)),0,IF(AND($E87=$K87,$F87=$L87),10,IF(($E87-$F87)=($K87-$L87),6,IF(MAX($E87,$F87)=MAX($K87,$L87),5,IF(MIN($E87,$F87)=MIN($K87,$L87),4,3)))))))</f>
        <v/>
      </c>
      <c r="N87" s="36">
        <f>IF(OR($K87="",$L87="",$G87="",$H87=""),"",IF(AND($G87=$K87,$H87=$L87),5+IF(($K87+$L87)&gt;=6,2,IF(($K87+$L87)=5,1,0)),IF(AND($G87=$H87,$K87=$L87),3,IF(AND($G87&lt;&gt;$H87,$K87&lt;&gt;$L87,SIGN($G87-$H87)=SIGN($K87-$L87)),2,0))))</f>
        <v/>
      </c>
      <c r="O87" s="36">
        <f>IF(OR($K87="",$L87="",$I87="",$J87=""),"",IF(AND($I87=$K87,$J87=$L87),3,IF(SIGN($I87-$J87)=SIGN($K87-$L87),1,0)))</f>
        <v/>
      </c>
      <c r="P87" s="15" t="n"/>
    </row>
  </sheetData>
  <mergeCells count="25">
    <mergeCell ref="A32:P32"/>
    <mergeCell ref="G2:H2"/>
    <mergeCell ref="I2:J2"/>
    <mergeCell ref="A53:P53"/>
    <mergeCell ref="A4:P4"/>
    <mergeCell ref="B2:B3"/>
    <mergeCell ref="M2:M3"/>
    <mergeCell ref="N2:N3"/>
    <mergeCell ref="D2:D3"/>
    <mergeCell ref="P2:P3"/>
    <mergeCell ref="A81:P81"/>
    <mergeCell ref="A67:P67"/>
    <mergeCell ref="A39:P39"/>
    <mergeCell ref="A2:A3"/>
    <mergeCell ref="C2:C3"/>
    <mergeCell ref="A11:P11"/>
    <mergeCell ref="A60:P60"/>
    <mergeCell ref="A1:P1"/>
    <mergeCell ref="E2:F2"/>
    <mergeCell ref="K2:L2"/>
    <mergeCell ref="O2:O3"/>
    <mergeCell ref="A25:P25"/>
    <mergeCell ref="A46:P46"/>
    <mergeCell ref="A18:P18"/>
    <mergeCell ref="A74:P74"/>
  </mergeCells>
  <pageMargins left="0.75" right="0.75" top="1" bottom="1" header="0.511811023622047" footer="0.511811023622047"/>
  <pageSetup orientation="portrait" paperSize="9" horizontalDpi="300" verticalDpi="300"/>
</worksheet>
</file>

<file path=xl/worksheets/sheet2.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18" customWidth="1" min="1" max="1"/>
    <col width="16" customWidth="1" min="2" max="2"/>
    <col width="16" customWidth="1" min="3" max="3"/>
  </cols>
  <sheetData>
    <row r="1">
      <c r="A1" s="37" t="inlineStr">
        <is>
          <t>Placar de Pontos — Copa 2026</t>
        </is>
      </c>
    </row>
    <row r="2">
      <c r="A2" s="38" t="inlineStr">
        <is>
          <t>Bolão</t>
        </is>
      </c>
      <c r="B2" s="38" t="inlineStr">
        <is>
          <t>Fase de Grupos</t>
        </is>
      </c>
      <c r="C2" s="38" t="inlineStr">
        <is>
          <t>Jogos pontuados</t>
        </is>
      </c>
    </row>
    <row r="3">
      <c r="A3" s="39" t="inlineStr">
        <is>
          <t>Bolão do Zap</t>
        </is>
      </c>
      <c r="B3" s="40">
        <f>SUM('Fase de Grupos'!M:M)</f>
        <v/>
      </c>
      <c r="C3" s="40">
        <f>COUNT('Fase de Grupos'!M:M)</f>
        <v/>
      </c>
    </row>
    <row r="4">
      <c r="A4" s="39" t="inlineStr">
        <is>
          <t>Bolão do Cli</t>
        </is>
      </c>
      <c r="B4" s="40">
        <f>SUM('Fase de Grupos'!N:N)</f>
        <v/>
      </c>
      <c r="C4" s="40">
        <f>COUNT('Fase de Grupos'!N:N)</f>
        <v/>
      </c>
    </row>
    <row r="5">
      <c r="A5" s="39" t="inlineStr">
        <is>
          <t>Polla 26</t>
        </is>
      </c>
      <c r="B5" s="40">
        <f>SUM('Fase de Grupos'!O:O)</f>
        <v/>
      </c>
      <c r="C5" s="40">
        <f>COUNT('Fase de Grupos'!O:O)</f>
        <v/>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showGridLines="0" zoomScaleNormal="100" workbookViewId="0">
      <pane ySplit="3" topLeftCell="A4" activePane="bottomLeft" state="frozen"/>
      <selection pane="bottomLeft" activeCell="A1" sqref="A1"/>
    </sheetView>
  </sheetViews>
  <sheetFormatPr baseColWidth="8" defaultColWidth="8.7109375" defaultRowHeight="15"/>
  <cols>
    <col width="8" customWidth="1" min="1" max="1"/>
    <col width="9" customWidth="1" min="2" max="7"/>
    <col width="24" customWidth="1" min="8" max="8"/>
  </cols>
  <sheetData>
    <row r="1" ht="25.5" customHeight="1">
      <c r="A1" s="8" t="inlineStr">
        <is>
          <t>Classificados para a 2a Fase - por Bolao</t>
        </is>
      </c>
    </row>
    <row r="2">
      <c r="A2" s="2" t="inlineStr">
        <is>
          <t>Grupo</t>
        </is>
      </c>
      <c r="B2" s="6" t="inlineStr">
        <is>
          <t>Bolao do Zap</t>
        </is>
      </c>
      <c r="C2" s="30" t="n"/>
      <c r="D2" s="6" t="inlineStr">
        <is>
          <t>Bolao do Cli</t>
        </is>
      </c>
      <c r="E2" s="30" t="n"/>
      <c r="F2" s="6" t="inlineStr">
        <is>
          <t>Polla 26</t>
        </is>
      </c>
      <c r="G2" s="30" t="n"/>
      <c r="H2" s="2" t="inlineStr">
        <is>
          <t>Obs</t>
        </is>
      </c>
    </row>
    <row r="3">
      <c r="A3" s="32" t="n"/>
      <c r="B3" s="9" t="inlineStr">
        <is>
          <t>1o</t>
        </is>
      </c>
      <c r="C3" s="9" t="inlineStr">
        <is>
          <t>2o</t>
        </is>
      </c>
      <c r="D3" s="9" t="inlineStr">
        <is>
          <t>1o</t>
        </is>
      </c>
      <c r="E3" s="9" t="inlineStr">
        <is>
          <t>2o</t>
        </is>
      </c>
      <c r="F3" s="9" t="inlineStr">
        <is>
          <t>1o</t>
        </is>
      </c>
      <c r="G3" s="9" t="inlineStr">
        <is>
          <t>2o</t>
        </is>
      </c>
      <c r="H3" s="32" t="n"/>
    </row>
    <row r="4">
      <c r="A4" s="13" t="inlineStr">
        <is>
          <t>A</t>
        </is>
      </c>
      <c r="B4" s="13" t="n"/>
      <c r="C4" s="13" t="n"/>
      <c r="D4" s="13" t="inlineStr">
        <is>
          <t>MEX</t>
        </is>
      </c>
      <c r="E4" s="13" t="inlineStr">
        <is>
          <t>COR</t>
        </is>
      </c>
      <c r="F4" s="13" t="n"/>
      <c r="G4" s="13" t="n"/>
      <c r="H4" s="13" t="n"/>
    </row>
    <row r="5">
      <c r="A5" s="10" t="inlineStr">
        <is>
          <t>B</t>
        </is>
      </c>
      <c r="B5" s="10" t="n"/>
      <c r="C5" s="10" t="n"/>
      <c r="D5" s="10" t="inlineStr">
        <is>
          <t>CAN</t>
        </is>
      </c>
      <c r="E5" s="10" t="inlineStr">
        <is>
          <t>SUI</t>
        </is>
      </c>
      <c r="F5" s="10" t="n"/>
      <c r="G5" s="10" t="n"/>
      <c r="H5" s="10" t="n"/>
    </row>
    <row r="6">
      <c r="A6" s="13" t="inlineStr">
        <is>
          <t>C</t>
        </is>
      </c>
      <c r="B6" s="13" t="n"/>
      <c r="C6" s="13" t="n"/>
      <c r="D6" s="13" t="inlineStr">
        <is>
          <t>BRA</t>
        </is>
      </c>
      <c r="E6" s="13" t="inlineStr">
        <is>
          <t>MAR</t>
        </is>
      </c>
      <c r="F6" s="13" t="n"/>
      <c r="G6" s="13" t="n"/>
      <c r="H6" s="13" t="n"/>
    </row>
    <row r="7">
      <c r="A7" s="10" t="inlineStr">
        <is>
          <t>D</t>
        </is>
      </c>
      <c r="B7" s="10" t="n"/>
      <c r="C7" s="10" t="n"/>
      <c r="D7" s="10" t="inlineStr">
        <is>
          <t>PAR</t>
        </is>
      </c>
      <c r="E7" s="10" t="inlineStr">
        <is>
          <t>AUS</t>
        </is>
      </c>
      <c r="F7" s="10" t="n"/>
      <c r="G7" s="10" t="n"/>
      <c r="H7" s="10" t="n"/>
    </row>
    <row r="8">
      <c r="A8" s="13" t="inlineStr">
        <is>
          <t>E</t>
        </is>
      </c>
      <c r="B8" s="13" t="n"/>
      <c r="C8" s="13" t="n"/>
      <c r="D8" s="13" t="inlineStr">
        <is>
          <t>EQU</t>
        </is>
      </c>
      <c r="E8" s="13" t="inlineStr">
        <is>
          <t>ALE</t>
        </is>
      </c>
      <c r="F8" s="13" t="n"/>
      <c r="G8" s="13" t="n"/>
      <c r="H8" s="13" t="n"/>
    </row>
    <row r="9">
      <c r="A9" s="10" t="inlineStr">
        <is>
          <t>F</t>
        </is>
      </c>
      <c r="B9" s="10" t="n"/>
      <c r="C9" s="10" t="n"/>
      <c r="D9" s="10" t="inlineStr">
        <is>
          <t>HOL</t>
        </is>
      </c>
      <c r="E9" s="10" t="inlineStr">
        <is>
          <t>TUN</t>
        </is>
      </c>
      <c r="F9" s="10" t="n"/>
      <c r="G9" s="10" t="n"/>
      <c r="H9" s="10" t="n"/>
    </row>
    <row r="10">
      <c r="A10" s="13" t="inlineStr">
        <is>
          <t>G</t>
        </is>
      </c>
      <c r="B10" s="13" t="n"/>
      <c r="C10" s="13" t="n"/>
      <c r="D10" s="13" t="inlineStr">
        <is>
          <t>BEL</t>
        </is>
      </c>
      <c r="E10" s="13" t="inlineStr">
        <is>
          <t>IRA</t>
        </is>
      </c>
      <c r="F10" s="13" t="n"/>
      <c r="G10" s="13" t="n"/>
      <c r="H10" s="13" t="n"/>
    </row>
    <row r="11">
      <c r="A11" s="10" t="inlineStr">
        <is>
          <t>H</t>
        </is>
      </c>
      <c r="B11" s="10" t="n"/>
      <c r="C11" s="10" t="n"/>
      <c r="D11" s="10" t="inlineStr">
        <is>
          <t>ESP</t>
        </is>
      </c>
      <c r="E11" s="10" t="inlineStr">
        <is>
          <t>URU</t>
        </is>
      </c>
      <c r="F11" s="10" t="n"/>
      <c r="G11" s="10" t="n"/>
      <c r="H11" s="10" t="n"/>
    </row>
    <row r="12">
      <c r="A12" s="13" t="inlineStr">
        <is>
          <t>I</t>
        </is>
      </c>
      <c r="B12" s="13" t="n"/>
      <c r="C12" s="13" t="n"/>
      <c r="D12" s="13" t="inlineStr">
        <is>
          <t>FRA</t>
        </is>
      </c>
      <c r="E12" s="13" t="inlineStr">
        <is>
          <t>NOR</t>
        </is>
      </c>
      <c r="F12" s="13" t="n"/>
      <c r="G12" s="13" t="n"/>
      <c r="H12" s="13" t="n"/>
    </row>
    <row r="13">
      <c r="A13" s="10" t="inlineStr">
        <is>
          <t>J</t>
        </is>
      </c>
      <c r="B13" s="10" t="n"/>
      <c r="C13" s="10" t="n"/>
      <c r="D13" s="10" t="inlineStr">
        <is>
          <t>ARG</t>
        </is>
      </c>
      <c r="E13" s="10" t="inlineStr">
        <is>
          <t>AUT</t>
        </is>
      </c>
      <c r="F13" s="10" t="n"/>
      <c r="G13" s="10" t="n"/>
      <c r="H13" s="10" t="n"/>
    </row>
    <row r="14">
      <c r="A14" s="13" t="inlineStr">
        <is>
          <t>K</t>
        </is>
      </c>
      <c r="B14" s="13" t="n"/>
      <c r="C14" s="13" t="n"/>
      <c r="D14" s="13" t="inlineStr">
        <is>
          <t>POR</t>
        </is>
      </c>
      <c r="E14" s="13" t="inlineStr">
        <is>
          <t>COL</t>
        </is>
      </c>
      <c r="F14" s="13" t="n"/>
      <c r="G14" s="13" t="n"/>
      <c r="H14" s="13" t="n"/>
    </row>
    <row r="15">
      <c r="A15" s="10" t="inlineStr">
        <is>
          <t>L</t>
        </is>
      </c>
      <c r="B15" s="10" t="n"/>
      <c r="C15" s="10" t="n"/>
      <c r="D15" s="10" t="inlineStr">
        <is>
          <t>ING</t>
        </is>
      </c>
      <c r="E15" s="10" t="inlineStr">
        <is>
          <t>CRO</t>
        </is>
      </c>
      <c r="F15" s="10" t="n"/>
      <c r="G15" s="10" t="n"/>
      <c r="H15" s="10" t="n"/>
    </row>
  </sheetData>
  <mergeCells count="6">
    <mergeCell ref="F2:G2"/>
    <mergeCell ref="B2:C2"/>
    <mergeCell ref="D2:E2"/>
    <mergeCell ref="A2:A3"/>
    <mergeCell ref="A1:H1"/>
    <mergeCell ref="H2:H3"/>
  </mergeCells>
  <pageMargins left="0.75" right="0.75" top="1" bottom="1" header="0.511811023622047" footer="0.511811023622047"/>
  <pageSetup orientation="portrait" paperSize="9" horizontalDpi="300" verticalDpi="300"/>
</worksheet>
</file>

<file path=xl/worksheets/sheet4.xml><?xml version="1.0" encoding="utf-8"?>
<worksheet xmlns="http://schemas.openxmlformats.org/spreadsheetml/2006/main">
  <sheetPr>
    <outlinePr summaryBelow="1" summaryRight="1"/>
    <pageSetUpPr/>
  </sheetPr>
  <dimension ref="A1:B16"/>
  <sheetViews>
    <sheetView showGridLines="0" zoomScaleNormal="100" workbookViewId="0">
      <selection activeCell="A1" sqref="A1"/>
    </sheetView>
  </sheetViews>
  <sheetFormatPr baseColWidth="8" defaultColWidth="8.7109375" defaultRowHeight="15"/>
  <cols>
    <col width="24" customWidth="1" min="1" max="1"/>
    <col width="110" customWidth="1" min="2" max="2"/>
  </cols>
  <sheetData>
    <row r="1" ht="16.5" customHeight="1">
      <c r="A1" s="1" t="inlineStr">
        <is>
          <t>Legenda e Notas</t>
        </is>
      </c>
    </row>
    <row r="3">
      <c r="A3" s="16" t="inlineStr">
        <is>
          <t>Estrutura</t>
        </is>
      </c>
      <c r="B3" s="17" t="n"/>
    </row>
    <row r="4">
      <c r="A4" s="16" t="inlineStr">
        <is>
          <t>Fase de Grupos</t>
        </is>
      </c>
      <c r="B4" s="17" t="inlineStr">
        <is>
          <t>72 jogos. Colunas M/V = gols do mandante e do visitante no palpite de cada bolao.</t>
        </is>
      </c>
    </row>
    <row r="5">
      <c r="A5" s="16" t="inlineStr">
        <is>
          <t>Bolao do Cli</t>
        </is>
      </c>
      <c r="B5" s="17" t="inlineStr">
        <is>
          <t>Palpites ja preenchidos a partir dos prints (12.06.2026).</t>
        </is>
      </c>
    </row>
    <row r="6">
      <c r="A6" s="16" t="inlineStr">
        <is>
          <t>Bolao do Zap / Polla 26</t>
        </is>
      </c>
      <c r="B6" s="17" t="inlineStr">
        <is>
          <t>Colunas em branco, a preencher.</t>
        </is>
      </c>
    </row>
    <row r="7">
      <c r="A7" s="16" t="inlineStr">
        <is>
          <t>Resultado Real</t>
        </is>
      </c>
      <c r="B7" s="17" t="inlineStr">
        <is>
          <t>Preencher conforme os jogos acontecem.</t>
        </is>
      </c>
    </row>
    <row r="8">
      <c r="A8" s="16" t="inlineStr">
        <is>
          <t>Pts Zap / Cli / Polla</t>
        </is>
      </c>
      <c r="B8" s="17" t="inlineStr">
        <is>
          <t>Reservado para pontuacao por jogo conforme a regra de cada bolao.</t>
        </is>
      </c>
    </row>
    <row r="9">
      <c r="A9" s="16" t="inlineStr">
        <is>
          <t>Classificados</t>
        </is>
      </c>
      <c r="B9" s="17" t="inlineStr">
        <is>
          <t>1o e 2o de cada grupo por bolao. Cli ja preenchido.</t>
        </is>
      </c>
    </row>
    <row r="10" ht="38.25" customHeight="1">
      <c r="A10" s="16" t="inlineStr">
        <is>
          <t>Siglas</t>
        </is>
      </c>
      <c r="B10" s="17" t="inlineStr">
        <is>
          <t>AFS Africa do Sul, COR Coreia do Sul, CAT Catar, BOS Bosnia, CDM Costa do Marfim, EQU Equador, CUR Curacao, EGT Egito, CPV Cabo Verde, IRQ Iraque, AGL Argelia, JRD Jordania, RDC Rep. Dem. do Congo, UZB Uzbequistao, GAN Gana, PAN Panama.</t>
        </is>
      </c>
    </row>
    <row r="11">
      <c r="A11" s="41" t="inlineStr"/>
      <c r="B11" t="inlineStr"/>
    </row>
    <row r="12">
      <c r="A12" s="39" t="inlineStr">
        <is>
          <t>Pontuacao automatica</t>
        </is>
      </c>
      <c r="B12" t="inlineStr">
        <is>
          <t>Colunas M/N/O calculam sozinhas quando voce preenche Real (K/L).</t>
        </is>
      </c>
    </row>
    <row r="13">
      <c r="A13" s="39" t="inlineStr">
        <is>
          <t>Bolao do Zap (grupos)</t>
        </is>
      </c>
      <c r="B13" t="inlineStr">
        <is>
          <t>Exato 10 | dif de gols 6 | gols do vencedor 5 | gols do perdedor 4 | so vencedor 3 | empate exato 10 | empate placar errado 6 | resto 0.</t>
        </is>
      </c>
    </row>
    <row r="14">
      <c r="A14" s="39" t="inlineStr">
        <is>
          <t>Bolao do Cli (grupos)</t>
        </is>
      </c>
      <c r="B14" t="inlineStr">
        <is>
          <t>Exato 5 (+1 se 5 gols no total, +2 se 6+ gols) | empate certo placar errado 3 | vitoria certa placar errado 2 | resto 0.</t>
        </is>
      </c>
    </row>
    <row r="15">
      <c r="A15" s="39" t="inlineStr">
        <is>
          <t>Polla 26</t>
        </is>
      </c>
      <c r="B15" t="inlineStr">
        <is>
          <t>Placar exato 3 | so o vencedor/empate certo 1 | resto 0.</t>
        </is>
      </c>
    </row>
    <row r="16">
      <c r="A16" s="39" t="inlineStr">
        <is>
          <t>Mata-mata</t>
        </is>
      </c>
      <c r="B16" t="inlineStr">
        <is>
          <t>Ainda nao consolidado. Zap dobra a tabela (exato 15, dif 9, gols venc 8, gols perd 6, so venc 5). Cli e Polla mantem os mesmos valores dos grupos.</t>
        </is>
      </c>
    </row>
  </sheetData>
  <mergeCells count="1">
    <mergeCell ref="A1:B1"/>
  </mergeCells>
  <pageMargins left="0.75" right="0.75" top="1" bottom="1" header="0.511811023622047" footer="0.511811023622047"/>
  <pageSetup orientation="portrait" paperSize="9"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2026-06-12T18:05:27Z</dcterms:created>
  <dcterms:modified xsi:type="dcterms:W3CDTF">2026-06-12T18:56:35Z</dcterms:modified>
  <cp:lastModifiedBy>Alberto Hamoui</cp:lastModifiedBy>
  <cp:revision>0</cp:revision>
</cp:coreProperties>
</file>